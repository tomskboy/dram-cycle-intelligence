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Цены" sheetId="2" state="visible" r:id="rId2"/>
    <sheet name="Допущения" sheetId="3" state="visible" r:id="rId3"/>
    <sheet name="Денежный поток" sheetId="4" state="visible" r:id="rId4"/>
    <sheet name="Чувствительность" sheetId="5" state="visible" r:id="rId5"/>
    <sheet name="Альтернативы" sheetId="6" state="visible" r:id="rId6"/>
    <sheet name="Рынок" sheetId="7" state="visible" r:id="rId7"/>
    <sheet name="Источни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 &quot;₽&quot;;(#,##0 &quot;₽&quot;);&quot;-&quot;"/>
    <numFmt numFmtId="165" formatCode="0.0%;(0.0%);&quot;-&quot;"/>
    <numFmt numFmtId="166" formatCode="#,##0;(#,##0);&quot;-&quot;"/>
    <numFmt numFmtId="167" formatCode="0.0 &quot;мес.&quot;"/>
    <numFmt numFmtId="168" formatCode="+0%;-0%;0%"/>
    <numFmt numFmtId="169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</font>
    <font>
      <name val="Arial"/>
    </font>
    <font>
      <name val="Arial"/>
      <color rgb="000000FF"/>
    </font>
    <font>
      <name val="Arial"/>
      <color rgb="00008000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7" fontId="6" fillId="0" borderId="0" pivotButton="0" quotePrefix="0" xfId="0"/>
    <xf numFmtId="164" fontId="5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4" fillId="0" borderId="0" pivotButton="0" quotePrefix="0" xfId="0"/>
    <xf numFmtId="165" fontId="5" fillId="0" borderId="0" pivotButton="0" quotePrefix="0" xfId="0"/>
    <xf numFmtId="164" fontId="5" fillId="3" borderId="0" pivotButton="0" quotePrefix="0" xfId="0"/>
    <xf numFmtId="166" fontId="5" fillId="3" borderId="0" pivotButton="0" quotePrefix="0" xfId="0"/>
    <xf numFmtId="166" fontId="5" fillId="0" borderId="0" pivotButton="0" quotePrefix="0" xfId="0"/>
    <xf numFmtId="165" fontId="5" fillId="3" borderId="0" pivotButton="0" quotePrefix="0" xfId="0"/>
    <xf numFmtId="164" fontId="4" fillId="0" borderId="0" pivotButton="0" quotePrefix="0" xfId="0"/>
    <xf numFmtId="0" fontId="3" fillId="2" borderId="0" pivotButton="0" quotePrefix="0" xfId="0"/>
    <xf numFmtId="168" fontId="5" fillId="2" borderId="0" pivotButton="0" quotePrefix="0" xfId="0"/>
    <xf numFmtId="164" fontId="5" fillId="2" borderId="0" pivotButton="0" quotePrefix="0" xfId="0"/>
    <xf numFmtId="169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70" customWidth="1" min="3" max="3"/>
  </cols>
  <sheetData>
    <row r="1">
      <c r="A1" s="1" t="inlineStr">
        <is>
          <t>Игровой ПК по подписке: юнит-экономика одного ПК</t>
        </is>
      </c>
      <c r="B1" s="2" t="n"/>
      <c r="C1" s="2" t="n"/>
    </row>
    <row r="2">
      <c r="A2" s="3" t="inlineStr">
        <is>
          <t>Все цифры считаются из листа «Допущения». Меняйте синие ячейки там.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Показатель</t>
        </is>
      </c>
      <c r="B4" s="4" t="inlineStr">
        <is>
          <t>Значение</t>
        </is>
      </c>
      <c r="C4" s="4" t="inlineStr">
        <is>
          <t>Комментарий</t>
        </is>
      </c>
    </row>
    <row r="5">
      <c r="A5" s="5" t="inlineStr">
        <is>
          <t>Стоимость сборки в рознице (DNS)</t>
        </is>
      </c>
      <c r="B5" s="6">
        <f>Допущения!$B$5</f>
        <v/>
      </c>
      <c r="C5" s="3" t="inlineStr">
        <is>
          <t>Бюджетная сборка AM4 + RTX 5050</t>
        </is>
      </c>
    </row>
    <row r="6">
      <c r="A6" s="5" t="inlineStr">
        <is>
          <t>Вложения в один ПК</t>
        </is>
      </c>
      <c r="B6" s="6">
        <f>Допущения!$B$23</f>
        <v/>
      </c>
      <c r="C6" s="3" t="inlineStr">
        <is>
          <t>Закупка со скидкой + сборка</t>
        </is>
      </c>
    </row>
    <row r="7">
      <c r="A7" s="5" t="inlineStr">
        <is>
          <t>Цена подписки</t>
        </is>
      </c>
      <c r="B7" s="6">
        <f>Допущения!$B$8</f>
        <v/>
      </c>
      <c r="C7" s="3" t="inlineStr">
        <is>
          <t>В месяц</t>
        </is>
      </c>
    </row>
    <row r="8">
      <c r="A8" s="5" t="inlineStr">
        <is>
          <t>Чистый денежный поток в месяц</t>
        </is>
      </c>
      <c r="B8" s="6">
        <f>Допущения!$B$29</f>
        <v/>
      </c>
      <c r="C8" s="3" t="inlineStr">
        <is>
          <t>После налога, эквайринга, ремонта, CAC</t>
        </is>
      </c>
    </row>
    <row r="9">
      <c r="A9" s="5" t="inlineStr">
        <is>
          <t>Маржа денежного потока</t>
        </is>
      </c>
      <c r="B9" s="7">
        <f>Допущения!$B$30</f>
        <v/>
      </c>
      <c r="C9" s="3" t="inlineStr"/>
    </row>
    <row r="10">
      <c r="A10" s="5" t="inlineStr">
        <is>
          <t>Срок окупаемости</t>
        </is>
      </c>
      <c r="B10" s="8">
        <f>IFERROR(Допущения!$B$23/Допущения!$B$29,"не окупается")</f>
        <v/>
      </c>
      <c r="C10" s="3" t="inlineStr">
        <is>
          <t>Без учёта продажи ПК в конце</t>
        </is>
      </c>
    </row>
    <row r="11">
      <c r="A11" s="5" t="inlineStr">
        <is>
          <t>NPV одного ПК за 36 мес</t>
        </is>
      </c>
      <c r="B11" s="6">
        <f>SUM('Денежный поток'!I5:I41)</f>
        <v/>
      </c>
      <c r="C11" s="3" t="inlineStr">
        <is>
          <t>Дисконт по ставке из допущений; &gt; 0 значит бизнес зарабатывает больше стоимости денег</t>
        </is>
      </c>
    </row>
    <row r="12">
      <c r="A12" s="5" t="inlineStr">
        <is>
          <t>IRR, годовых</t>
        </is>
      </c>
      <c r="B12" s="7">
        <f>IFERROR((1+IRR('Денежный поток'!G5:G41))^12-1,"-")</f>
        <v/>
      </c>
      <c r="C12" s="3" t="inlineStr">
        <is>
          <t>Сравните со ставкой финансирования</t>
        </is>
      </c>
    </row>
    <row r="13">
      <c r="A13" s="5" t="inlineStr">
        <is>
          <t>Суммарная прибыль с ПК за 36 мес</t>
        </is>
      </c>
      <c r="B13" s="6">
        <f>'Денежный поток'!H41</f>
        <v/>
      </c>
      <c r="C13" s="3" t="inlineStr">
        <is>
          <t>Без дисконтирования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4" customWidth="1" min="3" max="3"/>
  </cols>
  <sheetData>
    <row r="1">
      <c r="A1" s="1" t="inlineStr">
        <is>
          <t>Бюджетная игровая сборка (AM4), самые дешёвые позиции в DNS</t>
        </is>
      </c>
      <c r="B1" s="2" t="n"/>
      <c r="C1" s="2" t="n"/>
    </row>
    <row r="2">
      <c r="A2" s="3" t="inlineStr">
        <is>
          <t>Источник: data/raw/local_2026-09-24.csv, сбор src/collect_local.py, 24.09.2026, Москва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Компонент</t>
        </is>
      </c>
      <c r="B4" s="4" t="inlineStr">
        <is>
          <t>Позиция</t>
        </is>
      </c>
      <c r="C4" s="4" t="inlineStr">
        <is>
          <t>Цена, ₽</t>
        </is>
      </c>
    </row>
    <row r="5">
      <c r="A5" s="5" t="inlineStr">
        <is>
          <t>Процессор</t>
        </is>
      </c>
      <c r="B5" s="5" t="inlineStr">
        <is>
          <t>AMD Ryzen 5 5600 OEM</t>
        </is>
      </c>
      <c r="C5" s="9" t="n">
        <v>11999</v>
      </c>
    </row>
    <row r="6">
      <c r="A6" s="5" t="inlineStr">
        <is>
          <t>Видеокарта</t>
        </is>
      </c>
      <c r="B6" s="5" t="inlineStr">
        <is>
          <t>MSI GeForce RTX 5050 SHADOW 2X OC 8 ГБ</t>
        </is>
      </c>
      <c r="C6" s="9" t="n">
        <v>39499</v>
      </c>
    </row>
    <row r="7">
      <c r="A7" s="5" t="inlineStr">
        <is>
          <t>Оперативная память</t>
        </is>
      </c>
      <c r="B7" s="5" t="inlineStr">
        <is>
          <t>Digma 16 ГБ DDR4-3200</t>
        </is>
      </c>
      <c r="C7" s="9" t="n">
        <v>12599</v>
      </c>
    </row>
    <row r="8">
      <c r="A8" s="5" t="inlineStr">
        <is>
          <t>SSD</t>
        </is>
      </c>
      <c r="B8" s="5" t="inlineStr">
        <is>
          <t>DEXP C100 1 ТБ SATA</t>
        </is>
      </c>
      <c r="C8" s="9" t="n">
        <v>10999</v>
      </c>
    </row>
    <row r="9">
      <c r="A9" s="5" t="inlineStr">
        <is>
          <t>Материнская плата</t>
        </is>
      </c>
      <c r="B9" s="5" t="inlineStr">
        <is>
          <t>MSI PRO A520M-S</t>
        </is>
      </c>
      <c r="C9" s="9" t="n">
        <v>4599</v>
      </c>
    </row>
    <row r="10">
      <c r="A10" s="5" t="inlineStr">
        <is>
          <t>Кулер</t>
        </is>
      </c>
      <c r="B10" s="5" t="inlineStr">
        <is>
          <t>ID-COOLING SE-902-SD V3</t>
        </is>
      </c>
      <c r="C10" s="9" t="n">
        <v>850</v>
      </c>
    </row>
    <row r="11">
      <c r="A11" s="5" t="inlineStr">
        <is>
          <t>Блок питания</t>
        </is>
      </c>
      <c r="B11" s="5" t="inlineStr">
        <is>
          <t>Formula ECO-500W</t>
        </is>
      </c>
      <c r="C11" s="9" t="n">
        <v>2299</v>
      </c>
    </row>
    <row r="12">
      <c r="A12" s="5" t="inlineStr">
        <is>
          <t>Корпус</t>
        </is>
      </c>
      <c r="B12" s="5" t="inlineStr">
        <is>
          <t>ExeGate BAA-109U2</t>
        </is>
      </c>
      <c r="C12" s="9" t="n">
        <v>1450</v>
      </c>
    </row>
    <row r="13">
      <c r="A13" s="10" t="inlineStr">
        <is>
          <t>Итого</t>
        </is>
      </c>
      <c r="B13" s="2" t="n"/>
      <c r="C13" s="11">
        <f>SUM(C5:C12)</f>
        <v/>
      </c>
    </row>
    <row r="14">
      <c r="A14" s="5" t="inlineStr">
        <is>
          <t>Память и SSD, доля</t>
        </is>
      </c>
      <c r="B14" s="2" t="n"/>
      <c r="C14" s="12">
        <f>(C7+C8)/C13</f>
        <v/>
      </c>
    </row>
    <row r="15">
      <c r="A15" s="5" t="inlineStr">
        <is>
          <t>Видеокарта, доля</t>
        </is>
      </c>
      <c r="B15" s="2" t="n"/>
      <c r="C15" s="12">
        <f>C6/C13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90" customWidth="1" min="4" max="4"/>
  </cols>
  <sheetData>
    <row r="1">
      <c r="A1" s="1" t="inlineStr">
        <is>
          <t>Допущения модели: игровой ПК по подписке</t>
        </is>
      </c>
      <c r="B1" s="2" t="n"/>
      <c r="C1" s="2" t="n"/>
      <c r="D1" s="2" t="n"/>
    </row>
    <row r="2">
      <c r="A2" s="3" t="inlineStr">
        <is>
          <t>Синие ячейки — входные данные, их можно менять. Жёлтые — ключевые рычаги. Зелёные — ссылки на другие листы. Всё остальное считается формулами.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Параметр</t>
        </is>
      </c>
      <c r="B4" s="4" t="inlineStr">
        <is>
          <t>Значение</t>
        </is>
      </c>
      <c r="C4" s="4" t="inlineStr">
        <is>
          <t>Ед.</t>
        </is>
      </c>
      <c r="D4" s="4" t="inlineStr">
        <is>
          <t>Источник / логика</t>
        </is>
      </c>
    </row>
    <row r="5">
      <c r="A5" s="5" t="inlineStr">
        <is>
          <t>Стоимость сборки в рознице</t>
        </is>
      </c>
      <c r="B5" s="6">
        <f>Цены!$C$13</f>
        <v/>
      </c>
      <c r="C5" s="5" t="inlineStr">
        <is>
          <t>₽</t>
        </is>
      </c>
      <c r="D5" s="3" t="inlineStr">
        <is>
          <t>Лист «Цены»: DNS, 24.09.2026</t>
        </is>
      </c>
    </row>
    <row r="6">
      <c r="A6" s="5" t="inlineStr">
        <is>
          <t>Скидка при закупке у дистрибьютора</t>
        </is>
      </c>
      <c r="B6" s="13" t="n">
        <v>0.08</v>
      </c>
      <c r="C6" s="5" t="inlineStr">
        <is>
          <t>%</t>
        </is>
      </c>
      <c r="D6" s="3" t="inlineStr">
        <is>
          <t>Допущение: оптовая цена на 5–10% ниже розничной</t>
        </is>
      </c>
    </row>
    <row r="7">
      <c r="A7" s="5" t="inlineStr">
        <is>
          <t>Сборка, тест, упаковка</t>
        </is>
      </c>
      <c r="B7" s="9" t="n">
        <v>2500</v>
      </c>
      <c r="C7" s="5" t="inlineStr">
        <is>
          <t>₽ / ПК</t>
        </is>
      </c>
      <c r="D7" s="3" t="inlineStr">
        <is>
          <t>Допущение: ~1 час сборщика + упаковка</t>
        </is>
      </c>
    </row>
    <row r="8">
      <c r="A8" s="5" t="inlineStr">
        <is>
          <t>Цена подписки</t>
        </is>
      </c>
      <c r="B8" s="14" t="n">
        <v>4990</v>
      </c>
      <c r="C8" s="5" t="inlineStr">
        <is>
          <t>₽ / мес</t>
        </is>
      </c>
      <c r="D8" s="3" t="inlineStr">
        <is>
          <t>Решение. Ориентиры: клуб 1 570–1 900 ₽/мес на гостя (АРКИ, IV кв. 2025); Aura-Rent, ПК уровня RTX 4060 — 13 000 ₽/мес (краткосрочная аренда)</t>
        </is>
      </c>
    </row>
    <row r="9">
      <c r="A9" s="5" t="inlineStr">
        <is>
          <t>Простой ПК между клиентами</t>
        </is>
      </c>
      <c r="B9" s="13" t="n">
        <v>0.1</v>
      </c>
      <c r="C9" s="5" t="inlineStr">
        <is>
          <t>% времени</t>
        </is>
      </c>
      <c r="D9" s="3" t="inlineStr">
        <is>
          <t>Допущение: доставка, чистка, проверка, поиск нового клиента</t>
        </is>
      </c>
    </row>
    <row r="10">
      <c r="A10" s="5" t="inlineStr">
        <is>
          <t>Средняя длительность подписки</t>
        </is>
      </c>
      <c r="B10" s="15" t="n">
        <v>18</v>
      </c>
      <c r="C10" s="5" t="inlineStr">
        <is>
          <t>мес</t>
        </is>
      </c>
      <c r="D10" s="3" t="inlineStr">
        <is>
          <t>Допущение: минимальный срок 12 мес, часть клиентов продлевает</t>
        </is>
      </c>
    </row>
    <row r="11">
      <c r="A11" s="5" t="inlineStr">
        <is>
          <t>Стоимость привлечения клиента (CAC)</t>
        </is>
      </c>
      <c r="B11" s="14" t="n">
        <v>4000</v>
      </c>
      <c r="C11" s="5" t="inlineStr">
        <is>
          <t>₽ / договор</t>
        </is>
      </c>
      <c r="D11" s="3" t="inlineStr">
        <is>
          <t>Допущение: таргет и блогеры в игровых нишах</t>
        </is>
      </c>
    </row>
    <row r="12">
      <c r="A12" s="5" t="inlineStr">
        <is>
          <t>Доставка и забор ПК</t>
        </is>
      </c>
      <c r="B12" s="9" t="n">
        <v>2000</v>
      </c>
      <c r="C12" s="5" t="inlineStr">
        <is>
          <t>₽ / договор</t>
        </is>
      </c>
      <c r="D12" s="3" t="inlineStr">
        <is>
          <t>Допущение: курьер в обе стороны по городу</t>
        </is>
      </c>
    </row>
    <row r="13">
      <c r="A13" s="5" t="inlineStr">
        <is>
          <t>Эквайринг</t>
        </is>
      </c>
      <c r="B13" s="13" t="n">
        <v>0.025</v>
      </c>
      <c r="C13" s="5" t="inlineStr">
        <is>
          <t>% выручки</t>
        </is>
      </c>
      <c r="D13" s="3" t="inlineStr">
        <is>
          <t>Типовая ставка интернет-эквайринга</t>
        </is>
      </c>
    </row>
    <row r="14">
      <c r="A14" s="5" t="inlineStr">
        <is>
          <t>Налог (УСН «доходы»)</t>
        </is>
      </c>
      <c r="B14" s="13" t="n">
        <v>0.06</v>
      </c>
      <c r="C14" s="5" t="inlineStr">
        <is>
          <t>% выручки</t>
        </is>
      </c>
      <c r="D14" s="3" t="inlineStr">
        <is>
          <t>НК РФ, ст. 346.20</t>
        </is>
      </c>
    </row>
    <row r="15">
      <c r="A15" s="5" t="inlineStr">
        <is>
          <t>Ремонт и поддержка</t>
        </is>
      </c>
      <c r="B15" s="13" t="n">
        <v>0.06</v>
      </c>
      <c r="C15" s="5" t="inlineStr">
        <is>
          <t>% стоимости ПК в год</t>
        </is>
      </c>
      <c r="D15" s="3" t="inlineStr">
        <is>
          <t>Допущение: гарантийные замены, термопаста, поддержка</t>
        </is>
      </c>
    </row>
    <row r="16">
      <c r="A16" s="5" t="inlineStr">
        <is>
          <t>Потери (невозврат, порча)</t>
        </is>
      </c>
      <c r="B16" s="13" t="n">
        <v>0.03</v>
      </c>
      <c r="C16" s="5" t="inlineStr">
        <is>
          <t>% парка в год</t>
        </is>
      </c>
      <c r="D16" s="3" t="inlineStr">
        <is>
          <t>Допущение: частично покрывается скорингом и договором</t>
        </is>
      </c>
    </row>
    <row r="17">
      <c r="A17" s="5" t="inlineStr">
        <is>
          <t>Срок службы ПК в парке</t>
        </is>
      </c>
      <c r="B17" s="16" t="n">
        <v>36</v>
      </c>
      <c r="C17" s="5" t="inlineStr">
        <is>
          <t>мес</t>
        </is>
      </c>
      <c r="D17" s="3" t="inlineStr">
        <is>
          <t>Допущение: после 3 лет ПК продаётся на вторичном рынке</t>
        </is>
      </c>
    </row>
    <row r="18">
      <c r="A18" s="5" t="inlineStr">
        <is>
          <t>Остаточная стоимость ПК через 36 мес</t>
        </is>
      </c>
      <c r="B18" s="17" t="n">
        <v>0.35</v>
      </c>
      <c r="C18" s="5" t="inlineStr">
        <is>
          <t>% цены закупки</t>
        </is>
      </c>
      <c r="D18" s="3" t="inlineStr">
        <is>
          <t>Допущение. Дорогая память поднимает и цены б/у, это работает в плюс</t>
        </is>
      </c>
    </row>
    <row r="19">
      <c r="A19" s="5" t="inlineStr">
        <is>
          <t>Стоимость денег</t>
        </is>
      </c>
      <c r="B19" s="13">
        <f>0.14+0.04</f>
        <v/>
      </c>
      <c r="C19" s="5" t="inlineStr">
        <is>
          <t>% годовых</t>
        </is>
      </c>
      <c r="D19" s="3" t="inlineStr">
        <is>
          <t>Ключевая ставка ЦБ 14% на 23.09.2026 (cbr.ru) + 4 п.п. банковская маржа</t>
        </is>
      </c>
    </row>
    <row r="20">
      <c r="A20" s="2" t="n"/>
      <c r="B20" s="2" t="n"/>
      <c r="C20" s="2" t="n"/>
      <c r="D20" s="2" t="n"/>
    </row>
    <row r="21">
      <c r="A21" s="10" t="inlineStr">
        <is>
          <t>Расчётные величины</t>
        </is>
      </c>
      <c r="B21" s="2" t="n"/>
      <c r="C21" s="2" t="n"/>
      <c r="D21" s="2" t="n"/>
    </row>
    <row r="22">
      <c r="A22" s="5" t="inlineStr">
        <is>
          <t>Закупка комплектующих</t>
        </is>
      </c>
      <c r="B22" s="18">
        <f>Допущения!$B$5*(1-Допущения!$B$6)</f>
        <v/>
      </c>
      <c r="C22" s="2" t="n"/>
      <c r="D22" s="2" t="n"/>
    </row>
    <row r="23">
      <c r="A23" s="5" t="inlineStr">
        <is>
          <t>Вложения в один ПК (закупка + сборка)</t>
        </is>
      </c>
      <c r="B23" s="18">
        <f>Допущения!$B$5*(1-Допущения!$B$6)+Допущения!$B$7</f>
        <v/>
      </c>
      <c r="C23" s="2" t="n"/>
      <c r="D23" s="2" t="n"/>
    </row>
    <row r="24">
      <c r="A24" s="5" t="inlineStr">
        <is>
          <t>Ставка в месяц</t>
        </is>
      </c>
      <c r="B24" s="12">
        <f>(1+Допущения!$B$19)^(1/12)-1</f>
        <v/>
      </c>
      <c r="C24" s="2" t="n"/>
      <c r="D24" s="2" t="n"/>
    </row>
    <row r="25">
      <c r="A25" s="5" t="inlineStr">
        <is>
          <t>Выручка в месяц с учётом простоя</t>
        </is>
      </c>
      <c r="B25" s="18">
        <f>Допущения!$B$8*(1-Допущения!$B$9)</f>
        <v/>
      </c>
      <c r="C25" s="2" t="n"/>
      <c r="D25" s="2" t="n"/>
    </row>
    <row r="26">
      <c r="A26" s="5" t="inlineStr">
        <is>
          <t>Эквайринг и налог в месяц</t>
        </is>
      </c>
      <c r="B26" s="18">
        <f>B25*(Допущения!$B$13+Допущения!$B$14)</f>
        <v/>
      </c>
      <c r="C26" s="2" t="n"/>
      <c r="D26" s="2" t="n"/>
    </row>
    <row r="27">
      <c r="A27" s="5" t="inlineStr">
        <is>
          <t>Ремонт и потери в месяц</t>
        </is>
      </c>
      <c r="B27" s="18">
        <f>B22*(Допущения!$B$15+Допущения!$B$16)/12</f>
        <v/>
      </c>
      <c r="C27" s="2" t="n"/>
      <c r="D27" s="2" t="n"/>
    </row>
    <row r="28">
      <c r="A28" s="5" t="inlineStr">
        <is>
          <t>CAC и доставка в месяц (на договор / его длительность)</t>
        </is>
      </c>
      <c r="B28" s="18">
        <f>(Допущения!$B$11+Допущения!$B$12)/Допущения!$B$10*(1-Допущения!$B$9)</f>
        <v/>
      </c>
      <c r="C28" s="2" t="n"/>
      <c r="D28" s="2" t="n"/>
    </row>
    <row r="29">
      <c r="A29" s="5" t="inlineStr">
        <is>
          <t>Чистый денежный поток в месяц</t>
        </is>
      </c>
      <c r="B29" s="18">
        <f>B25-B26-B27-B28</f>
        <v/>
      </c>
      <c r="C29" s="2" t="n"/>
      <c r="D29" s="2" t="n"/>
    </row>
    <row r="30">
      <c r="A30" s="5" t="inlineStr">
        <is>
          <t>Маржа денежного потока</t>
        </is>
      </c>
      <c r="B30" s="12">
        <f>B29/B25</f>
        <v/>
      </c>
      <c r="C30" s="2" t="n"/>
      <c r="D3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5" customWidth="1" min="7" max="7"/>
    <col width="15" customWidth="1" min="8" max="8"/>
    <col width="16" customWidth="1" min="9" max="9"/>
  </cols>
  <sheetData>
    <row r="1">
      <c r="A1" s="1" t="inlineStr">
        <is>
          <t>Денежный поток одного ПК за срок службы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Месяц 0 — закупка и сборка. В последний месяц ПК продаётся по остаточной стоимости.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Месяц</t>
        </is>
      </c>
      <c r="B4" s="4" t="inlineStr">
        <is>
          <t>Выручка</t>
        </is>
      </c>
      <c r="C4" s="4" t="inlineStr">
        <is>
          <t>Эквайринг и налог</t>
        </is>
      </c>
      <c r="D4" s="4" t="inlineStr">
        <is>
          <t>Ремонт и потери</t>
        </is>
      </c>
      <c r="E4" s="4" t="inlineStr">
        <is>
          <t>CAC и доставка</t>
        </is>
      </c>
      <c r="F4" s="4" t="inlineStr">
        <is>
          <t>Вложения / продажа</t>
        </is>
      </c>
      <c r="G4" s="4" t="inlineStr">
        <is>
          <t>Денежный поток</t>
        </is>
      </c>
      <c r="H4" s="4" t="inlineStr">
        <is>
          <t>Накопленный</t>
        </is>
      </c>
      <c r="I4" s="4" t="inlineStr">
        <is>
          <t>Дисконтированный</t>
        </is>
      </c>
    </row>
    <row r="5">
      <c r="A5" s="5" t="n">
        <v>0</v>
      </c>
      <c r="B5" s="18" t="n">
        <v>0</v>
      </c>
      <c r="C5" s="18" t="n">
        <v>0</v>
      </c>
      <c r="D5" s="18" t="n">
        <v>0</v>
      </c>
      <c r="E5" s="18" t="n">
        <v>0</v>
      </c>
      <c r="F5" s="6">
        <f>-Допущения!$B$23</f>
        <v/>
      </c>
      <c r="G5" s="18">
        <f>SUM(B5:F5)</f>
        <v/>
      </c>
      <c r="H5" s="18">
        <f>G5</f>
        <v/>
      </c>
      <c r="I5" s="18">
        <f>G5/(1+Допущения!$B$24)^A5</f>
        <v/>
      </c>
    </row>
    <row r="6">
      <c r="A6" s="5" t="n">
        <v>1</v>
      </c>
      <c r="B6" s="6">
        <f>Допущения!$B$25</f>
        <v/>
      </c>
      <c r="C6" s="6">
        <f>-Допущения!$B$26</f>
        <v/>
      </c>
      <c r="D6" s="6">
        <f>-Допущения!$B$27</f>
        <v/>
      </c>
      <c r="E6" s="6">
        <f>-Допущения!$B$28</f>
        <v/>
      </c>
      <c r="F6" s="6">
        <f>IF(A6=Допущения!$B$17,Допущения!$B$18*Допущения!$B$22,0)</f>
        <v/>
      </c>
      <c r="G6" s="18">
        <f>SUM(B6:F6)</f>
        <v/>
      </c>
      <c r="H6" s="18">
        <f>H5+G6</f>
        <v/>
      </c>
      <c r="I6" s="18">
        <f>G6/(1+Допущения!$B$24)^A6</f>
        <v/>
      </c>
    </row>
    <row r="7">
      <c r="A7" s="5" t="n">
        <v>2</v>
      </c>
      <c r="B7" s="6">
        <f>Допущения!$B$25</f>
        <v/>
      </c>
      <c r="C7" s="6">
        <f>-Допущения!$B$26</f>
        <v/>
      </c>
      <c r="D7" s="6">
        <f>-Допущения!$B$27</f>
        <v/>
      </c>
      <c r="E7" s="6">
        <f>-Допущения!$B$28</f>
        <v/>
      </c>
      <c r="F7" s="6">
        <f>IF(A7=Допущения!$B$17,Допущения!$B$18*Допущения!$B$22,0)</f>
        <v/>
      </c>
      <c r="G7" s="18">
        <f>SUM(B7:F7)</f>
        <v/>
      </c>
      <c r="H7" s="18">
        <f>H6+G7</f>
        <v/>
      </c>
      <c r="I7" s="18">
        <f>G7/(1+Допущения!$B$24)^A7</f>
        <v/>
      </c>
    </row>
    <row r="8">
      <c r="A8" s="5" t="n">
        <v>3</v>
      </c>
      <c r="B8" s="6">
        <f>Допущения!$B$25</f>
        <v/>
      </c>
      <c r="C8" s="6">
        <f>-Допущения!$B$26</f>
        <v/>
      </c>
      <c r="D8" s="6">
        <f>-Допущения!$B$27</f>
        <v/>
      </c>
      <c r="E8" s="6">
        <f>-Допущения!$B$28</f>
        <v/>
      </c>
      <c r="F8" s="6">
        <f>IF(A8=Допущения!$B$17,Допущения!$B$18*Допущения!$B$22,0)</f>
        <v/>
      </c>
      <c r="G8" s="18">
        <f>SUM(B8:F8)</f>
        <v/>
      </c>
      <c r="H8" s="18">
        <f>H7+G8</f>
        <v/>
      </c>
      <c r="I8" s="18">
        <f>G8/(1+Допущения!$B$24)^A8</f>
        <v/>
      </c>
    </row>
    <row r="9">
      <c r="A9" s="5" t="n">
        <v>4</v>
      </c>
      <c r="B9" s="6">
        <f>Допущения!$B$25</f>
        <v/>
      </c>
      <c r="C9" s="6">
        <f>-Допущения!$B$26</f>
        <v/>
      </c>
      <c r="D9" s="6">
        <f>-Допущения!$B$27</f>
        <v/>
      </c>
      <c r="E9" s="6">
        <f>-Допущения!$B$28</f>
        <v/>
      </c>
      <c r="F9" s="6">
        <f>IF(A9=Допущения!$B$17,Допущения!$B$18*Допущения!$B$22,0)</f>
        <v/>
      </c>
      <c r="G9" s="18">
        <f>SUM(B9:F9)</f>
        <v/>
      </c>
      <c r="H9" s="18">
        <f>H8+G9</f>
        <v/>
      </c>
      <c r="I9" s="18">
        <f>G9/(1+Допущения!$B$24)^A9</f>
        <v/>
      </c>
    </row>
    <row r="10">
      <c r="A10" s="5" t="n">
        <v>5</v>
      </c>
      <c r="B10" s="6">
        <f>Допущения!$B$25</f>
        <v/>
      </c>
      <c r="C10" s="6">
        <f>-Допущения!$B$26</f>
        <v/>
      </c>
      <c r="D10" s="6">
        <f>-Допущения!$B$27</f>
        <v/>
      </c>
      <c r="E10" s="6">
        <f>-Допущения!$B$28</f>
        <v/>
      </c>
      <c r="F10" s="6">
        <f>IF(A10=Допущения!$B$17,Допущения!$B$18*Допущения!$B$22,0)</f>
        <v/>
      </c>
      <c r="G10" s="18">
        <f>SUM(B10:F10)</f>
        <v/>
      </c>
      <c r="H10" s="18">
        <f>H9+G10</f>
        <v/>
      </c>
      <c r="I10" s="18">
        <f>G10/(1+Допущения!$B$24)^A10</f>
        <v/>
      </c>
    </row>
    <row r="11">
      <c r="A11" s="5" t="n">
        <v>6</v>
      </c>
      <c r="B11" s="6">
        <f>Допущения!$B$25</f>
        <v/>
      </c>
      <c r="C11" s="6">
        <f>-Допущения!$B$26</f>
        <v/>
      </c>
      <c r="D11" s="6">
        <f>-Допущения!$B$27</f>
        <v/>
      </c>
      <c r="E11" s="6">
        <f>-Допущения!$B$28</f>
        <v/>
      </c>
      <c r="F11" s="6">
        <f>IF(A11=Допущения!$B$17,Допущения!$B$18*Допущения!$B$22,0)</f>
        <v/>
      </c>
      <c r="G11" s="18">
        <f>SUM(B11:F11)</f>
        <v/>
      </c>
      <c r="H11" s="18">
        <f>H10+G11</f>
        <v/>
      </c>
      <c r="I11" s="18">
        <f>G11/(1+Допущения!$B$24)^A11</f>
        <v/>
      </c>
    </row>
    <row r="12">
      <c r="A12" s="5" t="n">
        <v>7</v>
      </c>
      <c r="B12" s="6">
        <f>Допущения!$B$25</f>
        <v/>
      </c>
      <c r="C12" s="6">
        <f>-Допущения!$B$26</f>
        <v/>
      </c>
      <c r="D12" s="6">
        <f>-Допущения!$B$27</f>
        <v/>
      </c>
      <c r="E12" s="6">
        <f>-Допущения!$B$28</f>
        <v/>
      </c>
      <c r="F12" s="6">
        <f>IF(A12=Допущения!$B$17,Допущения!$B$18*Допущения!$B$22,0)</f>
        <v/>
      </c>
      <c r="G12" s="18">
        <f>SUM(B12:F12)</f>
        <v/>
      </c>
      <c r="H12" s="18">
        <f>H11+G12</f>
        <v/>
      </c>
      <c r="I12" s="18">
        <f>G12/(1+Допущения!$B$24)^A12</f>
        <v/>
      </c>
    </row>
    <row r="13">
      <c r="A13" s="5" t="n">
        <v>8</v>
      </c>
      <c r="B13" s="6">
        <f>Допущения!$B$25</f>
        <v/>
      </c>
      <c r="C13" s="6">
        <f>-Допущения!$B$26</f>
        <v/>
      </c>
      <c r="D13" s="6">
        <f>-Допущения!$B$27</f>
        <v/>
      </c>
      <c r="E13" s="6">
        <f>-Допущения!$B$28</f>
        <v/>
      </c>
      <c r="F13" s="6">
        <f>IF(A13=Допущения!$B$17,Допущения!$B$18*Допущения!$B$22,0)</f>
        <v/>
      </c>
      <c r="G13" s="18">
        <f>SUM(B13:F13)</f>
        <v/>
      </c>
      <c r="H13" s="18">
        <f>H12+G13</f>
        <v/>
      </c>
      <c r="I13" s="18">
        <f>G13/(1+Допущения!$B$24)^A13</f>
        <v/>
      </c>
    </row>
    <row r="14">
      <c r="A14" s="5" t="n">
        <v>9</v>
      </c>
      <c r="B14" s="6">
        <f>Допущения!$B$25</f>
        <v/>
      </c>
      <c r="C14" s="6">
        <f>-Допущения!$B$26</f>
        <v/>
      </c>
      <c r="D14" s="6">
        <f>-Допущения!$B$27</f>
        <v/>
      </c>
      <c r="E14" s="6">
        <f>-Допущения!$B$28</f>
        <v/>
      </c>
      <c r="F14" s="6">
        <f>IF(A14=Допущения!$B$17,Допущения!$B$18*Допущения!$B$22,0)</f>
        <v/>
      </c>
      <c r="G14" s="18">
        <f>SUM(B14:F14)</f>
        <v/>
      </c>
      <c r="H14" s="18">
        <f>H13+G14</f>
        <v/>
      </c>
      <c r="I14" s="18">
        <f>G14/(1+Допущения!$B$24)^A14</f>
        <v/>
      </c>
    </row>
    <row r="15">
      <c r="A15" s="5" t="n">
        <v>10</v>
      </c>
      <c r="B15" s="6">
        <f>Допущения!$B$25</f>
        <v/>
      </c>
      <c r="C15" s="6">
        <f>-Допущения!$B$26</f>
        <v/>
      </c>
      <c r="D15" s="6">
        <f>-Допущения!$B$27</f>
        <v/>
      </c>
      <c r="E15" s="6">
        <f>-Допущения!$B$28</f>
        <v/>
      </c>
      <c r="F15" s="6">
        <f>IF(A15=Допущения!$B$17,Допущения!$B$18*Допущения!$B$22,0)</f>
        <v/>
      </c>
      <c r="G15" s="18">
        <f>SUM(B15:F15)</f>
        <v/>
      </c>
      <c r="H15" s="18">
        <f>H14+G15</f>
        <v/>
      </c>
      <c r="I15" s="18">
        <f>G15/(1+Допущения!$B$24)^A15</f>
        <v/>
      </c>
    </row>
    <row r="16">
      <c r="A16" s="5" t="n">
        <v>11</v>
      </c>
      <c r="B16" s="6">
        <f>Допущения!$B$25</f>
        <v/>
      </c>
      <c r="C16" s="6">
        <f>-Допущения!$B$26</f>
        <v/>
      </c>
      <c r="D16" s="6">
        <f>-Допущения!$B$27</f>
        <v/>
      </c>
      <c r="E16" s="6">
        <f>-Допущения!$B$28</f>
        <v/>
      </c>
      <c r="F16" s="6">
        <f>IF(A16=Допущения!$B$17,Допущения!$B$18*Допущения!$B$22,0)</f>
        <v/>
      </c>
      <c r="G16" s="18">
        <f>SUM(B16:F16)</f>
        <v/>
      </c>
      <c r="H16" s="18">
        <f>H15+G16</f>
        <v/>
      </c>
      <c r="I16" s="18">
        <f>G16/(1+Допущения!$B$24)^A16</f>
        <v/>
      </c>
    </row>
    <row r="17">
      <c r="A17" s="5" t="n">
        <v>12</v>
      </c>
      <c r="B17" s="6">
        <f>Допущения!$B$25</f>
        <v/>
      </c>
      <c r="C17" s="6">
        <f>-Допущения!$B$26</f>
        <v/>
      </c>
      <c r="D17" s="6">
        <f>-Допущения!$B$27</f>
        <v/>
      </c>
      <c r="E17" s="6">
        <f>-Допущения!$B$28</f>
        <v/>
      </c>
      <c r="F17" s="6">
        <f>IF(A17=Допущения!$B$17,Допущения!$B$18*Допущения!$B$22,0)</f>
        <v/>
      </c>
      <c r="G17" s="18">
        <f>SUM(B17:F17)</f>
        <v/>
      </c>
      <c r="H17" s="18">
        <f>H16+G17</f>
        <v/>
      </c>
      <c r="I17" s="18">
        <f>G17/(1+Допущения!$B$24)^A17</f>
        <v/>
      </c>
    </row>
    <row r="18">
      <c r="A18" s="5" t="n">
        <v>13</v>
      </c>
      <c r="B18" s="6">
        <f>Допущения!$B$25</f>
        <v/>
      </c>
      <c r="C18" s="6">
        <f>-Допущения!$B$26</f>
        <v/>
      </c>
      <c r="D18" s="6">
        <f>-Допущения!$B$27</f>
        <v/>
      </c>
      <c r="E18" s="6">
        <f>-Допущения!$B$28</f>
        <v/>
      </c>
      <c r="F18" s="6">
        <f>IF(A18=Допущения!$B$17,Допущения!$B$18*Допущения!$B$22,0)</f>
        <v/>
      </c>
      <c r="G18" s="18">
        <f>SUM(B18:F18)</f>
        <v/>
      </c>
      <c r="H18" s="18">
        <f>H17+G18</f>
        <v/>
      </c>
      <c r="I18" s="18">
        <f>G18/(1+Допущения!$B$24)^A18</f>
        <v/>
      </c>
    </row>
    <row r="19">
      <c r="A19" s="5" t="n">
        <v>14</v>
      </c>
      <c r="B19" s="6">
        <f>Допущения!$B$25</f>
        <v/>
      </c>
      <c r="C19" s="6">
        <f>-Допущения!$B$26</f>
        <v/>
      </c>
      <c r="D19" s="6">
        <f>-Допущения!$B$27</f>
        <v/>
      </c>
      <c r="E19" s="6">
        <f>-Допущения!$B$28</f>
        <v/>
      </c>
      <c r="F19" s="6">
        <f>IF(A19=Допущения!$B$17,Допущения!$B$18*Допущения!$B$22,0)</f>
        <v/>
      </c>
      <c r="G19" s="18">
        <f>SUM(B19:F19)</f>
        <v/>
      </c>
      <c r="H19" s="18">
        <f>H18+G19</f>
        <v/>
      </c>
      <c r="I19" s="18">
        <f>G19/(1+Допущения!$B$24)^A19</f>
        <v/>
      </c>
    </row>
    <row r="20">
      <c r="A20" s="5" t="n">
        <v>15</v>
      </c>
      <c r="B20" s="6">
        <f>Допущения!$B$25</f>
        <v/>
      </c>
      <c r="C20" s="6">
        <f>-Допущения!$B$26</f>
        <v/>
      </c>
      <c r="D20" s="6">
        <f>-Допущения!$B$27</f>
        <v/>
      </c>
      <c r="E20" s="6">
        <f>-Допущения!$B$28</f>
        <v/>
      </c>
      <c r="F20" s="6">
        <f>IF(A20=Допущения!$B$17,Допущения!$B$18*Допущения!$B$22,0)</f>
        <v/>
      </c>
      <c r="G20" s="18">
        <f>SUM(B20:F20)</f>
        <v/>
      </c>
      <c r="H20" s="18">
        <f>H19+G20</f>
        <v/>
      </c>
      <c r="I20" s="18">
        <f>G20/(1+Допущения!$B$24)^A20</f>
        <v/>
      </c>
    </row>
    <row r="21">
      <c r="A21" s="5" t="n">
        <v>16</v>
      </c>
      <c r="B21" s="6">
        <f>Допущения!$B$25</f>
        <v/>
      </c>
      <c r="C21" s="6">
        <f>-Допущения!$B$26</f>
        <v/>
      </c>
      <c r="D21" s="6">
        <f>-Допущения!$B$27</f>
        <v/>
      </c>
      <c r="E21" s="6">
        <f>-Допущения!$B$28</f>
        <v/>
      </c>
      <c r="F21" s="6">
        <f>IF(A21=Допущения!$B$17,Допущения!$B$18*Допущения!$B$22,0)</f>
        <v/>
      </c>
      <c r="G21" s="18">
        <f>SUM(B21:F21)</f>
        <v/>
      </c>
      <c r="H21" s="18">
        <f>H20+G21</f>
        <v/>
      </c>
      <c r="I21" s="18">
        <f>G21/(1+Допущения!$B$24)^A21</f>
        <v/>
      </c>
    </row>
    <row r="22">
      <c r="A22" s="5" t="n">
        <v>17</v>
      </c>
      <c r="B22" s="6">
        <f>Допущения!$B$25</f>
        <v/>
      </c>
      <c r="C22" s="6">
        <f>-Допущения!$B$26</f>
        <v/>
      </c>
      <c r="D22" s="6">
        <f>-Допущения!$B$27</f>
        <v/>
      </c>
      <c r="E22" s="6">
        <f>-Допущения!$B$28</f>
        <v/>
      </c>
      <c r="F22" s="6">
        <f>IF(A22=Допущения!$B$17,Допущения!$B$18*Допущения!$B$22,0)</f>
        <v/>
      </c>
      <c r="G22" s="18">
        <f>SUM(B22:F22)</f>
        <v/>
      </c>
      <c r="H22" s="18">
        <f>H21+G22</f>
        <v/>
      </c>
      <c r="I22" s="18">
        <f>G22/(1+Допущения!$B$24)^A22</f>
        <v/>
      </c>
    </row>
    <row r="23">
      <c r="A23" s="5" t="n">
        <v>18</v>
      </c>
      <c r="B23" s="6">
        <f>Допущения!$B$25</f>
        <v/>
      </c>
      <c r="C23" s="6">
        <f>-Допущения!$B$26</f>
        <v/>
      </c>
      <c r="D23" s="6">
        <f>-Допущения!$B$27</f>
        <v/>
      </c>
      <c r="E23" s="6">
        <f>-Допущения!$B$28</f>
        <v/>
      </c>
      <c r="F23" s="6">
        <f>IF(A23=Допущения!$B$17,Допущения!$B$18*Допущения!$B$22,0)</f>
        <v/>
      </c>
      <c r="G23" s="18">
        <f>SUM(B23:F23)</f>
        <v/>
      </c>
      <c r="H23" s="18">
        <f>H22+G23</f>
        <v/>
      </c>
      <c r="I23" s="18">
        <f>G23/(1+Допущения!$B$24)^A23</f>
        <v/>
      </c>
    </row>
    <row r="24">
      <c r="A24" s="5" t="n">
        <v>19</v>
      </c>
      <c r="B24" s="6">
        <f>Допущения!$B$25</f>
        <v/>
      </c>
      <c r="C24" s="6">
        <f>-Допущения!$B$26</f>
        <v/>
      </c>
      <c r="D24" s="6">
        <f>-Допущения!$B$27</f>
        <v/>
      </c>
      <c r="E24" s="6">
        <f>-Допущения!$B$28</f>
        <v/>
      </c>
      <c r="F24" s="6">
        <f>IF(A24=Допущения!$B$17,Допущения!$B$18*Допущения!$B$22,0)</f>
        <v/>
      </c>
      <c r="G24" s="18">
        <f>SUM(B24:F24)</f>
        <v/>
      </c>
      <c r="H24" s="18">
        <f>H23+G24</f>
        <v/>
      </c>
      <c r="I24" s="18">
        <f>G24/(1+Допущения!$B$24)^A24</f>
        <v/>
      </c>
    </row>
    <row r="25">
      <c r="A25" s="5" t="n">
        <v>20</v>
      </c>
      <c r="B25" s="6">
        <f>Допущения!$B$25</f>
        <v/>
      </c>
      <c r="C25" s="6">
        <f>-Допущения!$B$26</f>
        <v/>
      </c>
      <c r="D25" s="6">
        <f>-Допущения!$B$27</f>
        <v/>
      </c>
      <c r="E25" s="6">
        <f>-Допущения!$B$28</f>
        <v/>
      </c>
      <c r="F25" s="6">
        <f>IF(A25=Допущения!$B$17,Допущения!$B$18*Допущения!$B$22,0)</f>
        <v/>
      </c>
      <c r="G25" s="18">
        <f>SUM(B25:F25)</f>
        <v/>
      </c>
      <c r="H25" s="18">
        <f>H24+G25</f>
        <v/>
      </c>
      <c r="I25" s="18">
        <f>G25/(1+Допущения!$B$24)^A25</f>
        <v/>
      </c>
    </row>
    <row r="26">
      <c r="A26" s="5" t="n">
        <v>21</v>
      </c>
      <c r="B26" s="6">
        <f>Допущения!$B$25</f>
        <v/>
      </c>
      <c r="C26" s="6">
        <f>-Допущения!$B$26</f>
        <v/>
      </c>
      <c r="D26" s="6">
        <f>-Допущения!$B$27</f>
        <v/>
      </c>
      <c r="E26" s="6">
        <f>-Допущения!$B$28</f>
        <v/>
      </c>
      <c r="F26" s="6">
        <f>IF(A26=Допущения!$B$17,Допущения!$B$18*Допущения!$B$22,0)</f>
        <v/>
      </c>
      <c r="G26" s="18">
        <f>SUM(B26:F26)</f>
        <v/>
      </c>
      <c r="H26" s="18">
        <f>H25+G26</f>
        <v/>
      </c>
      <c r="I26" s="18">
        <f>G26/(1+Допущения!$B$24)^A26</f>
        <v/>
      </c>
    </row>
    <row r="27">
      <c r="A27" s="5" t="n">
        <v>22</v>
      </c>
      <c r="B27" s="6">
        <f>Допущения!$B$25</f>
        <v/>
      </c>
      <c r="C27" s="6">
        <f>-Допущения!$B$26</f>
        <v/>
      </c>
      <c r="D27" s="6">
        <f>-Допущения!$B$27</f>
        <v/>
      </c>
      <c r="E27" s="6">
        <f>-Допущения!$B$28</f>
        <v/>
      </c>
      <c r="F27" s="6">
        <f>IF(A27=Допущения!$B$17,Допущения!$B$18*Допущения!$B$22,0)</f>
        <v/>
      </c>
      <c r="G27" s="18">
        <f>SUM(B27:F27)</f>
        <v/>
      </c>
      <c r="H27" s="18">
        <f>H26+G27</f>
        <v/>
      </c>
      <c r="I27" s="18">
        <f>G27/(1+Допущения!$B$24)^A27</f>
        <v/>
      </c>
    </row>
    <row r="28">
      <c r="A28" s="5" t="n">
        <v>23</v>
      </c>
      <c r="B28" s="6">
        <f>Допущения!$B$25</f>
        <v/>
      </c>
      <c r="C28" s="6">
        <f>-Допущения!$B$26</f>
        <v/>
      </c>
      <c r="D28" s="6">
        <f>-Допущения!$B$27</f>
        <v/>
      </c>
      <c r="E28" s="6">
        <f>-Допущения!$B$28</f>
        <v/>
      </c>
      <c r="F28" s="6">
        <f>IF(A28=Допущения!$B$17,Допущения!$B$18*Допущения!$B$22,0)</f>
        <v/>
      </c>
      <c r="G28" s="18">
        <f>SUM(B28:F28)</f>
        <v/>
      </c>
      <c r="H28" s="18">
        <f>H27+G28</f>
        <v/>
      </c>
      <c r="I28" s="18">
        <f>G28/(1+Допущения!$B$24)^A28</f>
        <v/>
      </c>
    </row>
    <row r="29">
      <c r="A29" s="5" t="n">
        <v>24</v>
      </c>
      <c r="B29" s="6">
        <f>Допущения!$B$25</f>
        <v/>
      </c>
      <c r="C29" s="6">
        <f>-Допущения!$B$26</f>
        <v/>
      </c>
      <c r="D29" s="6">
        <f>-Допущения!$B$27</f>
        <v/>
      </c>
      <c r="E29" s="6">
        <f>-Допущения!$B$28</f>
        <v/>
      </c>
      <c r="F29" s="6">
        <f>IF(A29=Допущения!$B$17,Допущения!$B$18*Допущения!$B$22,0)</f>
        <v/>
      </c>
      <c r="G29" s="18">
        <f>SUM(B29:F29)</f>
        <v/>
      </c>
      <c r="H29" s="18">
        <f>H28+G29</f>
        <v/>
      </c>
      <c r="I29" s="18">
        <f>G29/(1+Допущения!$B$24)^A29</f>
        <v/>
      </c>
    </row>
    <row r="30">
      <c r="A30" s="5" t="n">
        <v>25</v>
      </c>
      <c r="B30" s="6">
        <f>Допущения!$B$25</f>
        <v/>
      </c>
      <c r="C30" s="6">
        <f>-Допущения!$B$26</f>
        <v/>
      </c>
      <c r="D30" s="6">
        <f>-Допущения!$B$27</f>
        <v/>
      </c>
      <c r="E30" s="6">
        <f>-Допущения!$B$28</f>
        <v/>
      </c>
      <c r="F30" s="6">
        <f>IF(A30=Допущения!$B$17,Допущения!$B$18*Допущения!$B$22,0)</f>
        <v/>
      </c>
      <c r="G30" s="18">
        <f>SUM(B30:F30)</f>
        <v/>
      </c>
      <c r="H30" s="18">
        <f>H29+G30</f>
        <v/>
      </c>
      <c r="I30" s="18">
        <f>G30/(1+Допущения!$B$24)^A30</f>
        <v/>
      </c>
    </row>
    <row r="31">
      <c r="A31" s="5" t="n">
        <v>26</v>
      </c>
      <c r="B31" s="6">
        <f>Допущения!$B$25</f>
        <v/>
      </c>
      <c r="C31" s="6">
        <f>-Допущения!$B$26</f>
        <v/>
      </c>
      <c r="D31" s="6">
        <f>-Допущения!$B$27</f>
        <v/>
      </c>
      <c r="E31" s="6">
        <f>-Допущения!$B$28</f>
        <v/>
      </c>
      <c r="F31" s="6">
        <f>IF(A31=Допущения!$B$17,Допущения!$B$18*Допущения!$B$22,0)</f>
        <v/>
      </c>
      <c r="G31" s="18">
        <f>SUM(B31:F31)</f>
        <v/>
      </c>
      <c r="H31" s="18">
        <f>H30+G31</f>
        <v/>
      </c>
      <c r="I31" s="18">
        <f>G31/(1+Допущения!$B$24)^A31</f>
        <v/>
      </c>
    </row>
    <row r="32">
      <c r="A32" s="5" t="n">
        <v>27</v>
      </c>
      <c r="B32" s="6">
        <f>Допущения!$B$25</f>
        <v/>
      </c>
      <c r="C32" s="6">
        <f>-Допущения!$B$26</f>
        <v/>
      </c>
      <c r="D32" s="6">
        <f>-Допущения!$B$27</f>
        <v/>
      </c>
      <c r="E32" s="6">
        <f>-Допущения!$B$28</f>
        <v/>
      </c>
      <c r="F32" s="6">
        <f>IF(A32=Допущения!$B$17,Допущения!$B$18*Допущения!$B$22,0)</f>
        <v/>
      </c>
      <c r="G32" s="18">
        <f>SUM(B32:F32)</f>
        <v/>
      </c>
      <c r="H32" s="18">
        <f>H31+G32</f>
        <v/>
      </c>
      <c r="I32" s="18">
        <f>G32/(1+Допущения!$B$24)^A32</f>
        <v/>
      </c>
    </row>
    <row r="33">
      <c r="A33" s="5" t="n">
        <v>28</v>
      </c>
      <c r="B33" s="6">
        <f>Допущения!$B$25</f>
        <v/>
      </c>
      <c r="C33" s="6">
        <f>-Допущения!$B$26</f>
        <v/>
      </c>
      <c r="D33" s="6">
        <f>-Допущения!$B$27</f>
        <v/>
      </c>
      <c r="E33" s="6">
        <f>-Допущения!$B$28</f>
        <v/>
      </c>
      <c r="F33" s="6">
        <f>IF(A33=Допущения!$B$17,Допущения!$B$18*Допущения!$B$22,0)</f>
        <v/>
      </c>
      <c r="G33" s="18">
        <f>SUM(B33:F33)</f>
        <v/>
      </c>
      <c r="H33" s="18">
        <f>H32+G33</f>
        <v/>
      </c>
      <c r="I33" s="18">
        <f>G33/(1+Допущения!$B$24)^A33</f>
        <v/>
      </c>
    </row>
    <row r="34">
      <c r="A34" s="5" t="n">
        <v>29</v>
      </c>
      <c r="B34" s="6">
        <f>Допущения!$B$25</f>
        <v/>
      </c>
      <c r="C34" s="6">
        <f>-Допущения!$B$26</f>
        <v/>
      </c>
      <c r="D34" s="6">
        <f>-Допущения!$B$27</f>
        <v/>
      </c>
      <c r="E34" s="6">
        <f>-Допущения!$B$28</f>
        <v/>
      </c>
      <c r="F34" s="6">
        <f>IF(A34=Допущения!$B$17,Допущения!$B$18*Допущения!$B$22,0)</f>
        <v/>
      </c>
      <c r="G34" s="18">
        <f>SUM(B34:F34)</f>
        <v/>
      </c>
      <c r="H34" s="18">
        <f>H33+G34</f>
        <v/>
      </c>
      <c r="I34" s="18">
        <f>G34/(1+Допущения!$B$24)^A34</f>
        <v/>
      </c>
    </row>
    <row r="35">
      <c r="A35" s="5" t="n">
        <v>30</v>
      </c>
      <c r="B35" s="6">
        <f>Допущения!$B$25</f>
        <v/>
      </c>
      <c r="C35" s="6">
        <f>-Допущения!$B$26</f>
        <v/>
      </c>
      <c r="D35" s="6">
        <f>-Допущения!$B$27</f>
        <v/>
      </c>
      <c r="E35" s="6">
        <f>-Допущения!$B$28</f>
        <v/>
      </c>
      <c r="F35" s="6">
        <f>IF(A35=Допущения!$B$17,Допущения!$B$18*Допущения!$B$22,0)</f>
        <v/>
      </c>
      <c r="G35" s="18">
        <f>SUM(B35:F35)</f>
        <v/>
      </c>
      <c r="H35" s="18">
        <f>H34+G35</f>
        <v/>
      </c>
      <c r="I35" s="18">
        <f>G35/(1+Допущения!$B$24)^A35</f>
        <v/>
      </c>
    </row>
    <row r="36">
      <c r="A36" s="5" t="n">
        <v>31</v>
      </c>
      <c r="B36" s="6">
        <f>Допущения!$B$25</f>
        <v/>
      </c>
      <c r="C36" s="6">
        <f>-Допущения!$B$26</f>
        <v/>
      </c>
      <c r="D36" s="6">
        <f>-Допущения!$B$27</f>
        <v/>
      </c>
      <c r="E36" s="6">
        <f>-Допущения!$B$28</f>
        <v/>
      </c>
      <c r="F36" s="6">
        <f>IF(A36=Допущения!$B$17,Допущения!$B$18*Допущения!$B$22,0)</f>
        <v/>
      </c>
      <c r="G36" s="18">
        <f>SUM(B36:F36)</f>
        <v/>
      </c>
      <c r="H36" s="18">
        <f>H35+G36</f>
        <v/>
      </c>
      <c r="I36" s="18">
        <f>G36/(1+Допущения!$B$24)^A36</f>
        <v/>
      </c>
    </row>
    <row r="37">
      <c r="A37" s="5" t="n">
        <v>32</v>
      </c>
      <c r="B37" s="6">
        <f>Допущения!$B$25</f>
        <v/>
      </c>
      <c r="C37" s="6">
        <f>-Допущения!$B$26</f>
        <v/>
      </c>
      <c r="D37" s="6">
        <f>-Допущения!$B$27</f>
        <v/>
      </c>
      <c r="E37" s="6">
        <f>-Допущения!$B$28</f>
        <v/>
      </c>
      <c r="F37" s="6">
        <f>IF(A37=Допущения!$B$17,Допущения!$B$18*Допущения!$B$22,0)</f>
        <v/>
      </c>
      <c r="G37" s="18">
        <f>SUM(B37:F37)</f>
        <v/>
      </c>
      <c r="H37" s="18">
        <f>H36+G37</f>
        <v/>
      </c>
      <c r="I37" s="18">
        <f>G37/(1+Допущения!$B$24)^A37</f>
        <v/>
      </c>
    </row>
    <row r="38">
      <c r="A38" s="5" t="n">
        <v>33</v>
      </c>
      <c r="B38" s="6">
        <f>Допущения!$B$25</f>
        <v/>
      </c>
      <c r="C38" s="6">
        <f>-Допущения!$B$26</f>
        <v/>
      </c>
      <c r="D38" s="6">
        <f>-Допущения!$B$27</f>
        <v/>
      </c>
      <c r="E38" s="6">
        <f>-Допущения!$B$28</f>
        <v/>
      </c>
      <c r="F38" s="6">
        <f>IF(A38=Допущения!$B$17,Допущения!$B$18*Допущения!$B$22,0)</f>
        <v/>
      </c>
      <c r="G38" s="18">
        <f>SUM(B38:F38)</f>
        <v/>
      </c>
      <c r="H38" s="18">
        <f>H37+G38</f>
        <v/>
      </c>
      <c r="I38" s="18">
        <f>G38/(1+Допущения!$B$24)^A38</f>
        <v/>
      </c>
    </row>
    <row r="39">
      <c r="A39" s="5" t="n">
        <v>34</v>
      </c>
      <c r="B39" s="6">
        <f>Допущения!$B$25</f>
        <v/>
      </c>
      <c r="C39" s="6">
        <f>-Допущения!$B$26</f>
        <v/>
      </c>
      <c r="D39" s="6">
        <f>-Допущения!$B$27</f>
        <v/>
      </c>
      <c r="E39" s="6">
        <f>-Допущения!$B$28</f>
        <v/>
      </c>
      <c r="F39" s="6">
        <f>IF(A39=Допущения!$B$17,Допущения!$B$18*Допущения!$B$22,0)</f>
        <v/>
      </c>
      <c r="G39" s="18">
        <f>SUM(B39:F39)</f>
        <v/>
      </c>
      <c r="H39" s="18">
        <f>H38+G39</f>
        <v/>
      </c>
      <c r="I39" s="18">
        <f>G39/(1+Допущения!$B$24)^A39</f>
        <v/>
      </c>
    </row>
    <row r="40">
      <c r="A40" s="5" t="n">
        <v>35</v>
      </c>
      <c r="B40" s="6">
        <f>Допущения!$B$25</f>
        <v/>
      </c>
      <c r="C40" s="6">
        <f>-Допущения!$B$26</f>
        <v/>
      </c>
      <c r="D40" s="6">
        <f>-Допущения!$B$27</f>
        <v/>
      </c>
      <c r="E40" s="6">
        <f>-Допущения!$B$28</f>
        <v/>
      </c>
      <c r="F40" s="6">
        <f>IF(A40=Допущения!$B$17,Допущения!$B$18*Допущения!$B$22,0)</f>
        <v/>
      </c>
      <c r="G40" s="18">
        <f>SUM(B40:F40)</f>
        <v/>
      </c>
      <c r="H40" s="18">
        <f>H39+G40</f>
        <v/>
      </c>
      <c r="I40" s="18">
        <f>G40/(1+Допущения!$B$24)^A40</f>
        <v/>
      </c>
    </row>
    <row r="41">
      <c r="A41" s="5" t="n">
        <v>36</v>
      </c>
      <c r="B41" s="6">
        <f>Допущения!$B$25</f>
        <v/>
      </c>
      <c r="C41" s="6">
        <f>-Допущения!$B$26</f>
        <v/>
      </c>
      <c r="D41" s="6">
        <f>-Допущения!$B$27</f>
        <v/>
      </c>
      <c r="E41" s="6">
        <f>-Допущения!$B$28</f>
        <v/>
      </c>
      <c r="F41" s="6">
        <f>IF(A41=Допущения!$B$17,Допущения!$B$18*Допущения!$B$22,0)</f>
        <v/>
      </c>
      <c r="G41" s="18">
        <f>SUM(B41:F41)</f>
        <v/>
      </c>
      <c r="H41" s="18">
        <f>H40+G41</f>
        <v/>
      </c>
      <c r="I41" s="18">
        <f>G41/(1+Допущения!$B$24)^A41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Срок окупаемости (мес.) при разной цене подписки и стоимости сборки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По строкам — цена подписки, по столбцам — изменение стоимости сборки относительно сегодняшней (сценарии цен на память). Остальные допущения — с листа «Допущения».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19" t="inlineStr">
        <is>
          <t>Цена \ Сборка</t>
        </is>
      </c>
      <c r="B4" s="20" t="n">
        <v>-0.2</v>
      </c>
      <c r="C4" s="20" t="n">
        <v>-0.1</v>
      </c>
      <c r="D4" s="20" t="n">
        <v>0</v>
      </c>
      <c r="E4" s="20" t="n">
        <v>0.1</v>
      </c>
      <c r="F4" s="20" t="n">
        <v>0.2</v>
      </c>
      <c r="G4" s="20" t="n">
        <v>0.3</v>
      </c>
    </row>
    <row r="5">
      <c r="A5" s="21" t="n">
        <v>3990</v>
      </c>
      <c r="B5" s="22">
        <f>IFERROR(IF(($A5*(1-Допущения!$B$9)*(1-Допущения!$B$13-Допущения!$B$14)-Допущения!$B$5*(1+B$4)*(1-Допущения!$B$6)*(Допущения!$B$15+Допущения!$B$16)/12-Допущения!$B$28)&gt;0,(Допущения!$B$5*(1+B$4)*(1-Допущения!$B$6)+Допущения!$B$7)/($A5*(1-Допущения!$B$9)*(1-Допущения!$B$13-Допущения!$B$14)-Допущения!$B$5*(1+B$4)*(1-Допущения!$B$6)*(Допущения!$B$15+Допущения!$B$16)/12-Допущения!$B$28),"—"),"—")</f>
        <v/>
      </c>
      <c r="C5" s="22">
        <f>IFERROR(IF(($A5*(1-Допущения!$B$9)*(1-Допущения!$B$13-Допущения!$B$14)-Допущения!$B$5*(1+C$4)*(1-Допущения!$B$6)*(Допущения!$B$15+Допущения!$B$16)/12-Допущения!$B$28)&gt;0,(Допущения!$B$5*(1+C$4)*(1-Допущения!$B$6)+Допущения!$B$7)/($A5*(1-Допущения!$B$9)*(1-Допущения!$B$13-Допущения!$B$14)-Допущения!$B$5*(1+C$4)*(1-Допущения!$B$6)*(Допущения!$B$15+Допущения!$B$16)/12-Допущения!$B$28),"—"),"—")</f>
        <v/>
      </c>
      <c r="D5" s="22">
        <f>IFERROR(IF(($A5*(1-Допущения!$B$9)*(1-Допущения!$B$13-Допущения!$B$14)-Допущения!$B$5*(1+D$4)*(1-Допущения!$B$6)*(Допущения!$B$15+Допущения!$B$16)/12-Допущения!$B$28)&gt;0,(Допущения!$B$5*(1+D$4)*(1-Допущения!$B$6)+Допущения!$B$7)/($A5*(1-Допущения!$B$9)*(1-Допущения!$B$13-Допущения!$B$14)-Допущения!$B$5*(1+D$4)*(1-Допущения!$B$6)*(Допущения!$B$15+Допущения!$B$16)/12-Допущения!$B$28),"—"),"—")</f>
        <v/>
      </c>
      <c r="E5" s="22">
        <f>IFERROR(IF(($A5*(1-Допущения!$B$9)*(1-Допущения!$B$13-Допущения!$B$14)-Допущения!$B$5*(1+E$4)*(1-Допущения!$B$6)*(Допущения!$B$15+Допущения!$B$16)/12-Допущения!$B$28)&gt;0,(Допущения!$B$5*(1+E$4)*(1-Допущения!$B$6)+Допущения!$B$7)/($A5*(1-Допущения!$B$9)*(1-Допущения!$B$13-Допущения!$B$14)-Допущения!$B$5*(1+E$4)*(1-Допущения!$B$6)*(Допущения!$B$15+Допущения!$B$16)/12-Допущения!$B$28),"—"),"—")</f>
        <v/>
      </c>
      <c r="F5" s="22">
        <f>IFERROR(IF(($A5*(1-Допущения!$B$9)*(1-Допущения!$B$13-Допущения!$B$14)-Допущения!$B$5*(1+F$4)*(1-Допущения!$B$6)*(Допущения!$B$15+Допущения!$B$16)/12-Допущения!$B$28)&gt;0,(Допущения!$B$5*(1+F$4)*(1-Допущения!$B$6)+Допущения!$B$7)/($A5*(1-Допущения!$B$9)*(1-Допущения!$B$13-Допущения!$B$14)-Допущения!$B$5*(1+F$4)*(1-Допущения!$B$6)*(Допущения!$B$15+Допущения!$B$16)/12-Допущения!$B$28),"—"),"—")</f>
        <v/>
      </c>
      <c r="G5" s="22">
        <f>IFERROR(IF(($A5*(1-Допущения!$B$9)*(1-Допущения!$B$13-Допущения!$B$14)-Допущения!$B$5*(1+G$4)*(1-Допущения!$B$6)*(Допущения!$B$15+Допущения!$B$16)/12-Допущения!$B$28)&gt;0,(Допущения!$B$5*(1+G$4)*(1-Допущения!$B$6)+Допущения!$B$7)/($A5*(1-Допущения!$B$9)*(1-Допущения!$B$13-Допущения!$B$14)-Допущения!$B$5*(1+G$4)*(1-Допущения!$B$6)*(Допущения!$B$15+Допущения!$B$16)/12-Допущения!$B$28),"—"),"—")</f>
        <v/>
      </c>
    </row>
    <row r="6">
      <c r="A6" s="21" t="n">
        <v>4490</v>
      </c>
      <c r="B6" s="22">
        <f>IFERROR(IF(($A6*(1-Допущения!$B$9)*(1-Допущения!$B$13-Допущения!$B$14)-Допущения!$B$5*(1+B$4)*(1-Допущения!$B$6)*(Допущения!$B$15+Допущения!$B$16)/12-Допущения!$B$28)&gt;0,(Допущения!$B$5*(1+B$4)*(1-Допущения!$B$6)+Допущения!$B$7)/($A6*(1-Допущения!$B$9)*(1-Допущения!$B$13-Допущения!$B$14)-Допущения!$B$5*(1+B$4)*(1-Допущения!$B$6)*(Допущения!$B$15+Допущения!$B$16)/12-Допущения!$B$28),"—"),"—")</f>
        <v/>
      </c>
      <c r="C6" s="22">
        <f>IFERROR(IF(($A6*(1-Допущения!$B$9)*(1-Допущения!$B$13-Допущения!$B$14)-Допущения!$B$5*(1+C$4)*(1-Допущения!$B$6)*(Допущения!$B$15+Допущения!$B$16)/12-Допущения!$B$28)&gt;0,(Допущения!$B$5*(1+C$4)*(1-Допущения!$B$6)+Допущения!$B$7)/($A6*(1-Допущения!$B$9)*(1-Допущения!$B$13-Допущения!$B$14)-Допущения!$B$5*(1+C$4)*(1-Допущения!$B$6)*(Допущения!$B$15+Допущения!$B$16)/12-Допущения!$B$28),"—"),"—")</f>
        <v/>
      </c>
      <c r="D6" s="22">
        <f>IFERROR(IF(($A6*(1-Допущения!$B$9)*(1-Допущения!$B$13-Допущения!$B$14)-Допущения!$B$5*(1+D$4)*(1-Допущения!$B$6)*(Допущения!$B$15+Допущения!$B$16)/12-Допущения!$B$28)&gt;0,(Допущения!$B$5*(1+D$4)*(1-Допущения!$B$6)+Допущения!$B$7)/($A6*(1-Допущения!$B$9)*(1-Допущения!$B$13-Допущения!$B$14)-Допущения!$B$5*(1+D$4)*(1-Допущения!$B$6)*(Допущения!$B$15+Допущения!$B$16)/12-Допущения!$B$28),"—"),"—")</f>
        <v/>
      </c>
      <c r="E6" s="22">
        <f>IFERROR(IF(($A6*(1-Допущения!$B$9)*(1-Допущения!$B$13-Допущения!$B$14)-Допущения!$B$5*(1+E$4)*(1-Допущения!$B$6)*(Допущения!$B$15+Допущения!$B$16)/12-Допущения!$B$28)&gt;0,(Допущения!$B$5*(1+E$4)*(1-Допущения!$B$6)+Допущения!$B$7)/($A6*(1-Допущения!$B$9)*(1-Допущения!$B$13-Допущения!$B$14)-Допущения!$B$5*(1+E$4)*(1-Допущения!$B$6)*(Допущения!$B$15+Допущения!$B$16)/12-Допущения!$B$28),"—"),"—")</f>
        <v/>
      </c>
      <c r="F6" s="22">
        <f>IFERROR(IF(($A6*(1-Допущения!$B$9)*(1-Допущения!$B$13-Допущения!$B$14)-Допущения!$B$5*(1+F$4)*(1-Допущения!$B$6)*(Допущения!$B$15+Допущения!$B$16)/12-Допущения!$B$28)&gt;0,(Допущения!$B$5*(1+F$4)*(1-Допущения!$B$6)+Допущения!$B$7)/($A6*(1-Допущения!$B$9)*(1-Допущения!$B$13-Допущения!$B$14)-Допущения!$B$5*(1+F$4)*(1-Допущения!$B$6)*(Допущения!$B$15+Допущения!$B$16)/12-Допущения!$B$28),"—"),"—")</f>
        <v/>
      </c>
      <c r="G6" s="22">
        <f>IFERROR(IF(($A6*(1-Допущения!$B$9)*(1-Допущения!$B$13-Допущения!$B$14)-Допущения!$B$5*(1+G$4)*(1-Допущения!$B$6)*(Допущения!$B$15+Допущения!$B$16)/12-Допущения!$B$28)&gt;0,(Допущения!$B$5*(1+G$4)*(1-Допущения!$B$6)+Допущения!$B$7)/($A6*(1-Допущения!$B$9)*(1-Допущения!$B$13-Допущения!$B$14)-Допущения!$B$5*(1+G$4)*(1-Допущения!$B$6)*(Допущения!$B$15+Допущения!$B$16)/12-Допущения!$B$28),"—"),"—")</f>
        <v/>
      </c>
    </row>
    <row r="7">
      <c r="A7" s="21" t="n">
        <v>4990</v>
      </c>
      <c r="B7" s="22">
        <f>IFERROR(IF(($A7*(1-Допущения!$B$9)*(1-Допущения!$B$13-Допущения!$B$14)-Допущения!$B$5*(1+B$4)*(1-Допущения!$B$6)*(Допущения!$B$15+Допущения!$B$16)/12-Допущения!$B$28)&gt;0,(Допущения!$B$5*(1+B$4)*(1-Допущения!$B$6)+Допущения!$B$7)/($A7*(1-Допущения!$B$9)*(1-Допущения!$B$13-Допущения!$B$14)-Допущения!$B$5*(1+B$4)*(1-Допущения!$B$6)*(Допущения!$B$15+Допущения!$B$16)/12-Допущения!$B$28),"—"),"—")</f>
        <v/>
      </c>
      <c r="C7" s="22">
        <f>IFERROR(IF(($A7*(1-Допущения!$B$9)*(1-Допущения!$B$13-Допущения!$B$14)-Допущения!$B$5*(1+C$4)*(1-Допущения!$B$6)*(Допущения!$B$15+Допущения!$B$16)/12-Допущения!$B$28)&gt;0,(Допущения!$B$5*(1+C$4)*(1-Допущения!$B$6)+Допущения!$B$7)/($A7*(1-Допущения!$B$9)*(1-Допущения!$B$13-Допущения!$B$14)-Допущения!$B$5*(1+C$4)*(1-Допущения!$B$6)*(Допущения!$B$15+Допущения!$B$16)/12-Допущения!$B$28),"—"),"—")</f>
        <v/>
      </c>
      <c r="D7" s="22">
        <f>IFERROR(IF(($A7*(1-Допущения!$B$9)*(1-Допущения!$B$13-Допущения!$B$14)-Допущения!$B$5*(1+D$4)*(1-Допущения!$B$6)*(Допущения!$B$15+Допущения!$B$16)/12-Допущения!$B$28)&gt;0,(Допущения!$B$5*(1+D$4)*(1-Допущения!$B$6)+Допущения!$B$7)/($A7*(1-Допущения!$B$9)*(1-Допущения!$B$13-Допущения!$B$14)-Допущения!$B$5*(1+D$4)*(1-Допущения!$B$6)*(Допущения!$B$15+Допущения!$B$16)/12-Допущения!$B$28),"—"),"—")</f>
        <v/>
      </c>
      <c r="E7" s="22">
        <f>IFERROR(IF(($A7*(1-Допущения!$B$9)*(1-Допущения!$B$13-Допущения!$B$14)-Допущения!$B$5*(1+E$4)*(1-Допущения!$B$6)*(Допущения!$B$15+Допущения!$B$16)/12-Допущения!$B$28)&gt;0,(Допущения!$B$5*(1+E$4)*(1-Допущения!$B$6)+Допущения!$B$7)/($A7*(1-Допущения!$B$9)*(1-Допущения!$B$13-Допущения!$B$14)-Допущения!$B$5*(1+E$4)*(1-Допущения!$B$6)*(Допущения!$B$15+Допущения!$B$16)/12-Допущения!$B$28),"—"),"—")</f>
        <v/>
      </c>
      <c r="F7" s="22">
        <f>IFERROR(IF(($A7*(1-Допущения!$B$9)*(1-Допущения!$B$13-Допущения!$B$14)-Допущения!$B$5*(1+F$4)*(1-Допущения!$B$6)*(Допущения!$B$15+Допущения!$B$16)/12-Допущения!$B$28)&gt;0,(Допущения!$B$5*(1+F$4)*(1-Допущения!$B$6)+Допущения!$B$7)/($A7*(1-Допущения!$B$9)*(1-Допущения!$B$13-Допущения!$B$14)-Допущения!$B$5*(1+F$4)*(1-Допущения!$B$6)*(Допущения!$B$15+Допущения!$B$16)/12-Допущения!$B$28),"—"),"—")</f>
        <v/>
      </c>
      <c r="G7" s="22">
        <f>IFERROR(IF(($A7*(1-Допущения!$B$9)*(1-Допущения!$B$13-Допущения!$B$14)-Допущения!$B$5*(1+G$4)*(1-Допущения!$B$6)*(Допущения!$B$15+Допущения!$B$16)/12-Допущения!$B$28)&gt;0,(Допущения!$B$5*(1+G$4)*(1-Допущения!$B$6)+Допущения!$B$7)/($A7*(1-Допущения!$B$9)*(1-Допущения!$B$13-Допущения!$B$14)-Допущения!$B$5*(1+G$4)*(1-Допущения!$B$6)*(Допущения!$B$15+Допущения!$B$16)/12-Допущения!$B$28),"—"),"—")</f>
        <v/>
      </c>
    </row>
    <row r="8">
      <c r="A8" s="21" t="n">
        <v>5490</v>
      </c>
      <c r="B8" s="22">
        <f>IFERROR(IF(($A8*(1-Допущения!$B$9)*(1-Допущения!$B$13-Допущения!$B$14)-Допущения!$B$5*(1+B$4)*(1-Допущения!$B$6)*(Допущения!$B$15+Допущения!$B$16)/12-Допущения!$B$28)&gt;0,(Допущения!$B$5*(1+B$4)*(1-Допущения!$B$6)+Допущения!$B$7)/($A8*(1-Допущения!$B$9)*(1-Допущения!$B$13-Допущения!$B$14)-Допущения!$B$5*(1+B$4)*(1-Допущения!$B$6)*(Допущения!$B$15+Допущения!$B$16)/12-Допущения!$B$28),"—"),"—")</f>
        <v/>
      </c>
      <c r="C8" s="22">
        <f>IFERROR(IF(($A8*(1-Допущения!$B$9)*(1-Допущения!$B$13-Допущения!$B$14)-Допущения!$B$5*(1+C$4)*(1-Допущения!$B$6)*(Допущения!$B$15+Допущения!$B$16)/12-Допущения!$B$28)&gt;0,(Допущения!$B$5*(1+C$4)*(1-Допущения!$B$6)+Допущения!$B$7)/($A8*(1-Допущения!$B$9)*(1-Допущения!$B$13-Допущения!$B$14)-Допущения!$B$5*(1+C$4)*(1-Допущения!$B$6)*(Допущения!$B$15+Допущения!$B$16)/12-Допущения!$B$28),"—"),"—")</f>
        <v/>
      </c>
      <c r="D8" s="22">
        <f>IFERROR(IF(($A8*(1-Допущения!$B$9)*(1-Допущения!$B$13-Допущения!$B$14)-Допущения!$B$5*(1+D$4)*(1-Допущения!$B$6)*(Допущения!$B$15+Допущения!$B$16)/12-Допущения!$B$28)&gt;0,(Допущения!$B$5*(1+D$4)*(1-Допущения!$B$6)+Допущения!$B$7)/($A8*(1-Допущения!$B$9)*(1-Допущения!$B$13-Допущения!$B$14)-Допущения!$B$5*(1+D$4)*(1-Допущения!$B$6)*(Допущения!$B$15+Допущения!$B$16)/12-Допущения!$B$28),"—"),"—")</f>
        <v/>
      </c>
      <c r="E8" s="22">
        <f>IFERROR(IF(($A8*(1-Допущения!$B$9)*(1-Допущения!$B$13-Допущения!$B$14)-Допущения!$B$5*(1+E$4)*(1-Допущения!$B$6)*(Допущения!$B$15+Допущения!$B$16)/12-Допущения!$B$28)&gt;0,(Допущения!$B$5*(1+E$4)*(1-Допущения!$B$6)+Допущения!$B$7)/($A8*(1-Допущения!$B$9)*(1-Допущения!$B$13-Допущения!$B$14)-Допущения!$B$5*(1+E$4)*(1-Допущения!$B$6)*(Допущения!$B$15+Допущения!$B$16)/12-Допущения!$B$28),"—"),"—")</f>
        <v/>
      </c>
      <c r="F8" s="22">
        <f>IFERROR(IF(($A8*(1-Допущения!$B$9)*(1-Допущения!$B$13-Допущения!$B$14)-Допущения!$B$5*(1+F$4)*(1-Допущения!$B$6)*(Допущения!$B$15+Допущения!$B$16)/12-Допущения!$B$28)&gt;0,(Допущения!$B$5*(1+F$4)*(1-Допущения!$B$6)+Допущения!$B$7)/($A8*(1-Допущения!$B$9)*(1-Допущения!$B$13-Допущения!$B$14)-Допущения!$B$5*(1+F$4)*(1-Допущения!$B$6)*(Допущения!$B$15+Допущения!$B$16)/12-Допущения!$B$28),"—"),"—")</f>
        <v/>
      </c>
      <c r="G8" s="22">
        <f>IFERROR(IF(($A8*(1-Допущения!$B$9)*(1-Допущения!$B$13-Допущения!$B$14)-Допущения!$B$5*(1+G$4)*(1-Допущения!$B$6)*(Допущения!$B$15+Допущения!$B$16)/12-Допущения!$B$28)&gt;0,(Допущения!$B$5*(1+G$4)*(1-Допущения!$B$6)+Допущения!$B$7)/($A8*(1-Допущения!$B$9)*(1-Допущения!$B$13-Допущения!$B$14)-Допущения!$B$5*(1+G$4)*(1-Допущения!$B$6)*(Допущения!$B$15+Допущения!$B$16)/12-Допущения!$B$28),"—"),"—")</f>
        <v/>
      </c>
    </row>
    <row r="9">
      <c r="A9" s="21" t="n">
        <v>5990</v>
      </c>
      <c r="B9" s="22">
        <f>IFERROR(IF(($A9*(1-Допущения!$B$9)*(1-Допущения!$B$13-Допущения!$B$14)-Допущения!$B$5*(1+B$4)*(1-Допущения!$B$6)*(Допущения!$B$15+Допущения!$B$16)/12-Допущения!$B$28)&gt;0,(Допущения!$B$5*(1+B$4)*(1-Допущения!$B$6)+Допущения!$B$7)/($A9*(1-Допущения!$B$9)*(1-Допущения!$B$13-Допущения!$B$14)-Допущения!$B$5*(1+B$4)*(1-Допущения!$B$6)*(Допущения!$B$15+Допущения!$B$16)/12-Допущения!$B$28),"—"),"—")</f>
        <v/>
      </c>
      <c r="C9" s="22">
        <f>IFERROR(IF(($A9*(1-Допущения!$B$9)*(1-Допущения!$B$13-Допущения!$B$14)-Допущения!$B$5*(1+C$4)*(1-Допущения!$B$6)*(Допущения!$B$15+Допущения!$B$16)/12-Допущения!$B$28)&gt;0,(Допущения!$B$5*(1+C$4)*(1-Допущения!$B$6)+Допущения!$B$7)/($A9*(1-Допущения!$B$9)*(1-Допущения!$B$13-Допущения!$B$14)-Допущения!$B$5*(1+C$4)*(1-Допущения!$B$6)*(Допущения!$B$15+Допущения!$B$16)/12-Допущения!$B$28),"—"),"—")</f>
        <v/>
      </c>
      <c r="D9" s="22">
        <f>IFERROR(IF(($A9*(1-Допущения!$B$9)*(1-Допущения!$B$13-Допущения!$B$14)-Допущения!$B$5*(1+D$4)*(1-Допущения!$B$6)*(Допущения!$B$15+Допущения!$B$16)/12-Допущения!$B$28)&gt;0,(Допущения!$B$5*(1+D$4)*(1-Допущения!$B$6)+Допущения!$B$7)/($A9*(1-Допущения!$B$9)*(1-Допущения!$B$13-Допущения!$B$14)-Допущения!$B$5*(1+D$4)*(1-Допущения!$B$6)*(Допущения!$B$15+Допущения!$B$16)/12-Допущения!$B$28),"—"),"—")</f>
        <v/>
      </c>
      <c r="E9" s="22">
        <f>IFERROR(IF(($A9*(1-Допущения!$B$9)*(1-Допущения!$B$13-Допущения!$B$14)-Допущения!$B$5*(1+E$4)*(1-Допущения!$B$6)*(Допущения!$B$15+Допущения!$B$16)/12-Допущения!$B$28)&gt;0,(Допущения!$B$5*(1+E$4)*(1-Допущения!$B$6)+Допущения!$B$7)/($A9*(1-Допущения!$B$9)*(1-Допущения!$B$13-Допущения!$B$14)-Допущения!$B$5*(1+E$4)*(1-Допущения!$B$6)*(Допущения!$B$15+Допущения!$B$16)/12-Допущения!$B$28),"—"),"—")</f>
        <v/>
      </c>
      <c r="F9" s="22">
        <f>IFERROR(IF(($A9*(1-Допущения!$B$9)*(1-Допущения!$B$13-Допущения!$B$14)-Допущения!$B$5*(1+F$4)*(1-Допущения!$B$6)*(Допущения!$B$15+Допущения!$B$16)/12-Допущения!$B$28)&gt;0,(Допущения!$B$5*(1+F$4)*(1-Допущения!$B$6)+Допущения!$B$7)/($A9*(1-Допущения!$B$9)*(1-Допущения!$B$13-Допущения!$B$14)-Допущения!$B$5*(1+F$4)*(1-Допущения!$B$6)*(Допущения!$B$15+Допущения!$B$16)/12-Допущения!$B$28),"—"),"—")</f>
        <v/>
      </c>
      <c r="G9" s="22">
        <f>IFERROR(IF(($A9*(1-Допущения!$B$9)*(1-Допущения!$B$13-Допущения!$B$14)-Допущения!$B$5*(1+G$4)*(1-Допущения!$B$6)*(Допущения!$B$15+Допущения!$B$16)/12-Допущения!$B$28)&gt;0,(Допущения!$B$5*(1+G$4)*(1-Допущения!$B$6)+Допущения!$B$7)/($A9*(1-Допущения!$B$9)*(1-Допущения!$B$13-Допущения!$B$14)-Допущения!$B$5*(1+G$4)*(1-Допущения!$B$6)*(Допущения!$B$15+Допущения!$B$16)/12-Допущения!$B$28),"—"),"—")</f>
        <v/>
      </c>
    </row>
    <row r="10">
      <c r="A10" s="21" t="n">
        <v>6990</v>
      </c>
      <c r="B10" s="22">
        <f>IFERROR(IF(($A10*(1-Допущения!$B$9)*(1-Допущения!$B$13-Допущения!$B$14)-Допущения!$B$5*(1+B$4)*(1-Допущения!$B$6)*(Допущения!$B$15+Допущения!$B$16)/12-Допущения!$B$28)&gt;0,(Допущения!$B$5*(1+B$4)*(1-Допущения!$B$6)+Допущения!$B$7)/($A10*(1-Допущения!$B$9)*(1-Допущения!$B$13-Допущения!$B$14)-Допущения!$B$5*(1+B$4)*(1-Допущения!$B$6)*(Допущения!$B$15+Допущения!$B$16)/12-Допущения!$B$28),"—"),"—")</f>
        <v/>
      </c>
      <c r="C10" s="22">
        <f>IFERROR(IF(($A10*(1-Допущения!$B$9)*(1-Допущения!$B$13-Допущения!$B$14)-Допущения!$B$5*(1+C$4)*(1-Допущения!$B$6)*(Допущения!$B$15+Допущения!$B$16)/12-Допущения!$B$28)&gt;0,(Допущения!$B$5*(1+C$4)*(1-Допущения!$B$6)+Допущения!$B$7)/($A10*(1-Допущения!$B$9)*(1-Допущения!$B$13-Допущения!$B$14)-Допущения!$B$5*(1+C$4)*(1-Допущения!$B$6)*(Допущения!$B$15+Допущения!$B$16)/12-Допущения!$B$28),"—"),"—")</f>
        <v/>
      </c>
      <c r="D10" s="22">
        <f>IFERROR(IF(($A10*(1-Допущения!$B$9)*(1-Допущения!$B$13-Допущения!$B$14)-Допущения!$B$5*(1+D$4)*(1-Допущения!$B$6)*(Допущения!$B$15+Допущения!$B$16)/12-Допущения!$B$28)&gt;0,(Допущения!$B$5*(1+D$4)*(1-Допущения!$B$6)+Допущения!$B$7)/($A10*(1-Допущения!$B$9)*(1-Допущения!$B$13-Допущения!$B$14)-Допущения!$B$5*(1+D$4)*(1-Допущения!$B$6)*(Допущения!$B$15+Допущения!$B$16)/12-Допущения!$B$28),"—"),"—")</f>
        <v/>
      </c>
      <c r="E10" s="22">
        <f>IFERROR(IF(($A10*(1-Допущения!$B$9)*(1-Допущения!$B$13-Допущения!$B$14)-Допущения!$B$5*(1+E$4)*(1-Допущения!$B$6)*(Допущения!$B$15+Допущения!$B$16)/12-Допущения!$B$28)&gt;0,(Допущения!$B$5*(1+E$4)*(1-Допущения!$B$6)+Допущения!$B$7)/($A10*(1-Допущения!$B$9)*(1-Допущения!$B$13-Допущения!$B$14)-Допущения!$B$5*(1+E$4)*(1-Допущения!$B$6)*(Допущения!$B$15+Допущения!$B$16)/12-Допущения!$B$28),"—"),"—")</f>
        <v/>
      </c>
      <c r="F10" s="22">
        <f>IFERROR(IF(($A10*(1-Допущения!$B$9)*(1-Допущения!$B$13-Допущения!$B$14)-Допущения!$B$5*(1+F$4)*(1-Допущения!$B$6)*(Допущения!$B$15+Допущения!$B$16)/12-Допущения!$B$28)&gt;0,(Допущения!$B$5*(1+F$4)*(1-Допущения!$B$6)+Допущения!$B$7)/($A10*(1-Допущения!$B$9)*(1-Допущения!$B$13-Допущения!$B$14)-Допущения!$B$5*(1+F$4)*(1-Допущения!$B$6)*(Допущения!$B$15+Допущения!$B$16)/12-Допущения!$B$28),"—"),"—")</f>
        <v/>
      </c>
      <c r="G10" s="22">
        <f>IFERROR(IF(($A10*(1-Допущения!$B$9)*(1-Допущения!$B$13-Допущения!$B$14)-Допущения!$B$5*(1+G$4)*(1-Допущения!$B$6)*(Допущения!$B$15+Допущения!$B$16)/12-Допущения!$B$28)&gt;0,(Допущения!$B$5*(1+G$4)*(1-Допущения!$B$6)+Допущения!$B$7)/($A10*(1-Допущения!$B$9)*(1-Допущения!$B$13-Допущения!$B$14)-Допущения!$B$5*(1+G$4)*(1-Допущения!$B$6)*(Допущения!$B$15+Допущения!$B$16)/12-Допущения!$B$28),"—"),"—")</f>
        <v/>
      </c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3" t="inlineStr">
        <is>
          <t>Как читать: при сегодняшних ценах и подписке 4 990 ₽ ПК окупается за значение в центре. Если память подешевеет на 20%, срок сокращается; если подорожает ещё на 30% — растёт.</t>
        </is>
      </c>
      <c r="B12" s="2" t="n"/>
      <c r="C12" s="2" t="n"/>
      <c r="D12" s="2" t="n"/>
      <c r="E12" s="2" t="n"/>
      <c r="F12" s="2" t="n"/>
      <c r="G1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4" customWidth="1" min="4" max="4"/>
    <col width="70" customWidth="1" min="5" max="5"/>
  </cols>
  <sheetData>
    <row r="1">
      <c r="A1" s="1" t="inlineStr">
        <is>
          <t>Что дешевле для геймера: купить, ходить в клуб, облако или подписка</t>
        </is>
      </c>
      <c r="B1" s="2" t="n"/>
      <c r="C1" s="2" t="n"/>
      <c r="D1" s="2" t="n"/>
      <c r="E1" s="2" t="n"/>
    </row>
    <row r="2">
      <c r="A2" s="3" t="inlineStr">
        <is>
          <t>Сравнение расходов геймера за период. Часы игры в месяц — входной параметр.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5" t="inlineStr">
        <is>
          <t>Часов игры в месяц</t>
        </is>
      </c>
      <c r="B4" s="16" t="n">
        <v>60</v>
      </c>
      <c r="C4" s="2" t="n"/>
      <c r="D4" s="2" t="n"/>
      <c r="E4" s="2" t="n"/>
    </row>
    <row r="5">
      <c r="A5" s="5" t="inlineStr">
        <is>
          <t>Ставка по рассрочке / кредиту</t>
        </is>
      </c>
      <c r="B5" s="13" t="n">
        <v>0.25</v>
      </c>
      <c r="C5" s="3" t="inlineStr">
        <is>
          <t>Допущение: рассрочка с переплатой, типично для потребкредита при ставке ЦБ 14%</t>
        </is>
      </c>
      <c r="D5" s="2" t="n"/>
      <c r="E5" s="2" t="n"/>
    </row>
    <row r="6">
      <c r="A6" s="5" t="inlineStr">
        <is>
          <t>Срок рассрочки, мес</t>
        </is>
      </c>
      <c r="B6" s="16" t="n">
        <v>12</v>
      </c>
      <c r="C6" s="2" t="n"/>
      <c r="D6" s="2" t="n"/>
      <c r="E6" s="2" t="n"/>
    </row>
    <row r="7">
      <c r="A7" s="5" t="inlineStr">
        <is>
          <t>Клуб: средние траты гостя в месяц</t>
        </is>
      </c>
      <c r="B7" s="9" t="n">
        <v>1570</v>
      </c>
      <c r="C7" s="3" t="inlineStr">
        <is>
          <t>АРКИ, IV кв. 2025: медианная выручка на гостя 1 570 ₽ (Москва и СПб ~1 900 ₽)</t>
        </is>
      </c>
      <c r="D7" s="2" t="n"/>
      <c r="E7" s="2" t="n"/>
    </row>
    <row r="8">
      <c r="A8" s="5" t="inlineStr">
        <is>
          <t>Облако (МТС Fog Play), ₽ за час</t>
        </is>
      </c>
      <c r="B8" s="9" t="n">
        <v>24</v>
      </c>
      <c r="C8" s="3" t="inlineStr">
        <is>
          <t>fogplay.mts.ru: от 24 ₽/час, поминутная оплата</t>
        </is>
      </c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4" t="inlineStr">
        <is>
          <t>Вариант</t>
        </is>
      </c>
      <c r="B10" s="4" t="inlineStr">
        <is>
          <t>Платёж в месяц</t>
        </is>
      </c>
      <c r="C10" s="4" t="inlineStr">
        <is>
          <t>За 12 мес</t>
        </is>
      </c>
      <c r="D10" s="4" t="inlineStr">
        <is>
          <t>За 24 мес</t>
        </is>
      </c>
      <c r="E10" s="4" t="inlineStr">
        <is>
          <t>Комментарий</t>
        </is>
      </c>
    </row>
    <row r="11">
      <c r="A11" s="5" t="inlineStr">
        <is>
          <t>Купить сразу в DNS</t>
        </is>
      </c>
      <c r="B11" s="18">
        <f>0</f>
        <v/>
      </c>
      <c r="C11" s="18">
        <f>Допущения!$B$5</f>
        <v/>
      </c>
      <c r="D11" s="18">
        <f>Допущения!$B$5</f>
        <v/>
      </c>
      <c r="E11" s="3" t="inlineStr">
        <is>
          <t>Нужна вся сумма сразу</t>
        </is>
      </c>
    </row>
    <row r="12">
      <c r="A12" s="5" t="inlineStr">
        <is>
          <t>Купить в кредит</t>
        </is>
      </c>
      <c r="B12" s="18">
        <f>PMT($B$5/12,$B$6,-Допущения!$B$5)</f>
        <v/>
      </c>
      <c r="C12" s="18">
        <f>B12*$B$6</f>
        <v/>
      </c>
      <c r="D12" s="18">
        <f>B12*$B$6</f>
        <v/>
      </c>
      <c r="E12" s="3" t="inlineStr">
        <is>
          <t>Аннуитет; после выплаты ПК ваш</t>
        </is>
      </c>
    </row>
    <row r="13">
      <c r="A13" s="5" t="inlineStr">
        <is>
          <t>Компьютерный клуб</t>
        </is>
      </c>
      <c r="B13" s="18">
        <f>$B$7</f>
        <v/>
      </c>
      <c r="C13" s="18">
        <f>B13*12</f>
        <v/>
      </c>
      <c r="D13" s="18">
        <f>B13*24</f>
        <v/>
      </c>
      <c r="E13" s="3" t="inlineStr">
        <is>
          <t>Нет ПК дома, ограничено часами</t>
        </is>
      </c>
    </row>
    <row r="14">
      <c r="A14" s="5" t="inlineStr">
        <is>
          <t>Облачный гейминг</t>
        </is>
      </c>
      <c r="B14" s="18">
        <f>$B$4*$B$8</f>
        <v/>
      </c>
      <c r="C14" s="18">
        <f>B14*12</f>
        <v/>
      </c>
      <c r="D14" s="18">
        <f>B14*24</f>
        <v/>
      </c>
      <c r="E14" s="3" t="inlineStr">
        <is>
          <t>Нужен быстрый интернет, задержки</t>
        </is>
      </c>
    </row>
    <row r="15">
      <c r="A15" s="5" t="inlineStr">
        <is>
          <t>Подписка на ПК</t>
        </is>
      </c>
      <c r="B15" s="18">
        <f>Допущения!$B$8</f>
        <v/>
      </c>
      <c r="C15" s="18">
        <f>B15*12</f>
        <v/>
      </c>
      <c r="D15" s="18">
        <f>B15*24</f>
        <v/>
      </c>
      <c r="E15" s="3" t="inlineStr">
        <is>
          <t>ПК дома, без первого взноса, можно вернуть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90" customWidth="1" min="3" max="3"/>
  </cols>
  <sheetData>
    <row r="1">
      <c r="A1" s="1" t="inlineStr">
        <is>
          <t>Оценка рынка: TAM / SAM / SOM</t>
        </is>
      </c>
      <c r="B1" s="2" t="n"/>
      <c r="C1" s="2" t="n"/>
    </row>
    <row r="2">
      <c r="A2" s="3" t="inlineStr">
        <is>
          <t>Сверху вниз. Синие ячейки — источники или допущения, их можно уточнять.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Шаг</t>
        </is>
      </c>
      <c r="B4" s="4" t="inlineStr">
        <is>
          <t>Значение</t>
        </is>
      </c>
      <c r="C4" s="4" t="inlineStr">
        <is>
          <t>Источник / логика</t>
        </is>
      </c>
    </row>
    <row r="5">
      <c r="A5" s="5" t="inlineStr">
        <is>
          <t>Аудитория видеоигр в России, чел.</t>
        </is>
      </c>
      <c r="B5" s="16" t="n">
        <v>108000000</v>
      </c>
      <c r="C5" s="3" t="inlineStr">
        <is>
          <t>РВИ, ИФСИ, НАФИ (2025): 106–110 млн, берём середину</t>
        </is>
      </c>
    </row>
    <row r="6">
      <c r="A6" s="5" t="inlineStr">
        <is>
          <t>Доля считающих себя геймерами</t>
        </is>
      </c>
      <c r="B6" s="13" t="n">
        <v>0.17</v>
      </c>
      <c r="C6" s="3" t="inlineStr">
        <is>
          <t>Там же: каждый шестой играющий (17%)</t>
        </is>
      </c>
    </row>
    <row r="7">
      <c r="A7" s="5" t="inlineStr">
        <is>
          <t>Геймеры, чел.</t>
        </is>
      </c>
      <c r="B7" s="23">
        <f>B5*B6</f>
        <v/>
      </c>
      <c r="C7" s="3" t="inlineStr"/>
    </row>
    <row r="8">
      <c r="A8" s="5" t="inlineStr">
        <is>
          <t>Доля играющих в основном на ПК</t>
        </is>
      </c>
      <c r="B8" s="13" t="n">
        <v>0.5</v>
      </c>
      <c r="C8" s="3" t="inlineStr">
        <is>
          <t>Допущение; опросы дают 50–60%</t>
        </is>
      </c>
    </row>
    <row r="9">
      <c r="A9" s="5" t="inlineStr">
        <is>
          <t>Нет подходящего игрового ПК или пора менять</t>
        </is>
      </c>
      <c r="B9" s="13" t="n">
        <v>0.3</v>
      </c>
      <c r="C9" s="3" t="inlineStr">
        <is>
          <t>Допущение; проверить опросом</t>
        </is>
      </c>
    </row>
    <row r="10">
      <c r="A10" s="10" t="inlineStr">
        <is>
          <t>TAM, чел.</t>
        </is>
      </c>
      <c r="B10" s="23">
        <f>B7*B8*B9</f>
        <v/>
      </c>
      <c r="C10" s="3" t="inlineStr">
        <is>
          <t>Все, кому нужен новый игровой ПК</t>
        </is>
      </c>
    </row>
    <row r="11">
      <c r="A11" s="10" t="inlineStr">
        <is>
          <t>TAM, ₽ в год</t>
        </is>
      </c>
      <c r="B11" s="18">
        <f>B10*Допущения!$B$8*12</f>
        <v/>
      </c>
      <c r="C11" s="3" t="inlineStr">
        <is>
          <t>Если бы все платили за подписку</t>
        </is>
      </c>
    </row>
    <row r="12">
      <c r="A12" s="5" t="inlineStr">
        <is>
          <t>Доля в городах-миллионниках</t>
        </is>
      </c>
      <c r="B12" s="13" t="n">
        <v>0.24</v>
      </c>
      <c r="C12" s="3" t="inlineStr">
        <is>
          <t>Росстат: ~35 млн из 146 млн жителей</t>
        </is>
      </c>
    </row>
    <row r="13">
      <c r="A13" s="5" t="inlineStr">
        <is>
          <t>Готовы платить за подписку, а не покупать</t>
        </is>
      </c>
      <c r="B13" s="13" t="n">
        <v>0.1</v>
      </c>
      <c r="C13" s="3" t="inlineStr">
        <is>
          <t>Допущение; проверить опросом и пилотом</t>
        </is>
      </c>
    </row>
    <row r="14">
      <c r="A14" s="10" t="inlineStr">
        <is>
          <t>SAM, чел.</t>
        </is>
      </c>
      <c r="B14" s="23">
        <f>B10*B12*B13</f>
        <v/>
      </c>
      <c r="C14" s="3" t="inlineStr">
        <is>
          <t>Реально достижимый сегмент</t>
        </is>
      </c>
    </row>
    <row r="15">
      <c r="A15" s="10" t="inlineStr">
        <is>
          <t>SAM, ₽ в год</t>
        </is>
      </c>
      <c r="B15" s="18">
        <f>B14*Допущения!$B$8*12</f>
        <v/>
      </c>
      <c r="C15" s="3" t="inlineStr"/>
    </row>
    <row r="16">
      <c r="A16" s="5" t="inlineStr">
        <is>
          <t>Доля SAM через 3 года</t>
        </is>
      </c>
      <c r="B16" s="13" t="n">
        <v>0.05</v>
      </c>
      <c r="C16" s="3" t="inlineStr">
        <is>
          <t>Цель, допущение</t>
        </is>
      </c>
    </row>
    <row r="17">
      <c r="A17" s="10" t="inlineStr">
        <is>
          <t>SOM, подписчиков</t>
        </is>
      </c>
      <c r="B17" s="23">
        <f>B14*B16</f>
        <v/>
      </c>
      <c r="C17" s="3" t="inlineStr"/>
    </row>
    <row r="18">
      <c r="A18" s="10" t="inlineStr">
        <is>
          <t>SOM, ₽ в год</t>
        </is>
      </c>
      <c r="B18" s="18">
        <f>B17*Допущения!$B$8*12</f>
        <v/>
      </c>
      <c r="C18" s="3" t="inlineStr"/>
    </row>
    <row r="19">
      <c r="A19" s="5" t="inlineStr">
        <is>
          <t>Нужно вложить в парк ПК</t>
        </is>
      </c>
      <c r="B19" s="18">
        <f>B17*Допущения!$B$23*(1+Допущения!$B$9)</f>
        <v/>
      </c>
      <c r="C19" s="3" t="inlineStr">
        <is>
          <t>Парк с запасом на простой</t>
        </is>
      </c>
    </row>
    <row r="20">
      <c r="A20" s="5" t="inlineStr">
        <is>
          <t>Проверка: гостей компьютерных клубов в месяц</t>
        </is>
      </c>
      <c r="B20" s="16" t="n">
        <v>1000000</v>
      </c>
      <c r="C20" s="3" t="inlineStr">
        <is>
          <t>АРКИ: &gt;1 млн уникальных гостей в месяц, пик ~1,2 млн (ноябрь 2025)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70" customWidth="1" min="3" max="3"/>
  </cols>
  <sheetData>
    <row r="1">
      <c r="A1" s="1" t="inlineStr">
        <is>
          <t>Источники</t>
        </is>
      </c>
      <c r="B1" s="2" t="n"/>
      <c r="C1" s="2" t="n"/>
    </row>
    <row r="2">
      <c r="A2" s="2" t="n"/>
      <c r="B2" s="2" t="n"/>
      <c r="C2" s="2" t="n"/>
    </row>
    <row r="3">
      <c r="A3" s="4" t="inlineStr">
        <is>
          <t>Что</t>
        </is>
      </c>
      <c r="B3" s="4" t="inlineStr">
        <is>
          <t>Источник</t>
        </is>
      </c>
      <c r="C3" s="4" t="inlineStr">
        <is>
          <t>Ссылка</t>
        </is>
      </c>
    </row>
    <row r="4">
      <c r="A4" s="5" t="inlineStr">
        <is>
          <t>Цены DNS</t>
        </is>
      </c>
      <c r="B4" s="5" t="inlineStr">
        <is>
          <t>Собственный сбор, src/collect_local.py, 24.09.2026</t>
        </is>
      </c>
      <c r="C4" s="5" t="inlineStr"/>
    </row>
    <row r="5">
      <c r="A5" s="5" t="inlineStr">
        <is>
          <t>Цены Регард и история</t>
        </is>
      </c>
      <c r="B5" s="5" t="inlineStr">
        <is>
          <t>Собственный сбор, src/collect_regard.py, src/collect_history.py (Wayback Machine)</t>
        </is>
      </c>
      <c r="C5" s="5" t="inlineStr"/>
    </row>
    <row r="6">
      <c r="A6" s="5" t="inlineStr">
        <is>
          <t>Контрактные цены DRAM</t>
        </is>
      </c>
      <c r="B6" s="5" t="inlineStr">
        <is>
          <t>TrendForce, пресс-релизы 05.01.2026, 31.03.2026, 01.06.2026, 03.07.2026</t>
        </is>
      </c>
      <c r="C6" s="5" t="inlineStr">
        <is>
          <t>https://www.trendforce.com/presscenter/news/20260601-13070.html</t>
        </is>
      </c>
    </row>
    <row r="7">
      <c r="A7" s="5" t="inlineStr">
        <is>
          <t>Аудитория видеоигр</t>
        </is>
      </c>
      <c r="B7" s="5" t="inlineStr">
        <is>
          <t>РВИ, ИФСИ, НАФИ, исследование «Гейминг в России»</t>
        </is>
      </c>
      <c r="C7" s="5" t="inlineStr">
        <is>
          <t>https://creative.hse.ru/news/6359</t>
        </is>
      </c>
    </row>
    <row r="8">
      <c r="A8" s="5" t="inlineStr">
        <is>
          <t>Компьютерные клубы</t>
        </is>
      </c>
      <c r="B8" s="5" t="inlineStr">
        <is>
          <t>АРКИ, барометр за IV кв. 2025 (CNews, 30.01.2026)</t>
        </is>
      </c>
      <c r="C8" s="5" t="inlineStr">
        <is>
          <t>https://www.cnews.ru/news/line/2026-01-30_rynok_kompyuternyh_klubov</t>
        </is>
      </c>
    </row>
    <row r="9">
      <c r="A9" s="5" t="inlineStr">
        <is>
          <t>Аренда игровых ПК</t>
        </is>
      </c>
      <c r="B9" s="5" t="inlineStr">
        <is>
          <t>Aura-Rent, прайс на аренду игровых ПК, Москва</t>
        </is>
      </c>
      <c r="C9" s="5" t="inlineStr">
        <is>
          <t>https://msk.aura-rent.ru/arenda-igrovyh-kompjuterov/</t>
        </is>
      </c>
    </row>
    <row r="10">
      <c r="A10" s="5" t="inlineStr">
        <is>
          <t>Облачный гейминг</t>
        </is>
      </c>
      <c r="B10" s="5" t="inlineStr">
        <is>
          <t>МТС Fog Play, тарифы</t>
        </is>
      </c>
      <c r="C10" s="5" t="inlineStr">
        <is>
          <t>https://fogplay.mts.ru/</t>
        </is>
      </c>
    </row>
    <row r="11">
      <c r="A11" s="5" t="inlineStr">
        <is>
          <t>Ключевая ставка</t>
        </is>
      </c>
      <c r="B11" s="5" t="inlineStr">
        <is>
          <t>Банк России, 14% на 23.09.2026</t>
        </is>
      </c>
      <c r="C11" s="5" t="inlineStr">
        <is>
          <t>https://www.cbr.ru/hd_base/KeyRate/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2026-09-23T23:51:24Z</dcterms:created>
  <dcterms:modified xsi:type="dcterms:W3CDTF">2026-09-23T23:51:24Z</dcterms:modified>
</cp:coreProperties>
</file>